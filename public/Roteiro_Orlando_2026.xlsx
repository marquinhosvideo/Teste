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oteiro completo" sheetId="1" state="visible" r:id="rId3"/>
    <sheet name="Lugares com criança" sheetId="2" state="visible" r:id="rId4"/>
    <sheet name="Compras extras" sheetId="3" state="visible" r:id="rId5"/>
    <sheet name="Chef Mickey's (custos)" sheetId="4" state="visible" r:id="rId6"/>
    <sheet name="Dicas e ressalvas" sheetId="5" state="visible" r:id="rId7"/>
    <sheet name="Fontes" sheetId="6" state="visible" r:id="rId8"/>
  </sheets>
  <definedNames>
    <definedName function="false" hidden="true" localSheetId="2" name="_xlnm._FilterDatabase" vbProcedure="false">'Compras extras'!$A$1:$J$14</definedName>
    <definedName function="false" hidden="true" localSheetId="5" name="_xlnm._FilterDatabase" vbProcedure="false">Fontes!$A$1:$B$46</definedName>
    <definedName function="false" hidden="true" localSheetId="1" name="_xlnm._FilterDatabase" vbProcedure="false">'Lugares com criança'!$A$1:$L$21</definedName>
    <definedName function="false" hidden="true" localSheetId="0" name="_xlnm._FilterDatabase" vbProcedure="false">'Roteiro completo'!$A$1:$J$19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<sst xmlns="http://schemas.openxmlformats.org/spreadsheetml/2006/main" count="809" uniqueCount="640">
  <si>
    <t xml:space="preserve">Data</t>
  </si>
  <si>
    <t xml:space="preserve">Dia</t>
  </si>
  <si>
    <t xml:space="preserve">Tipo do dia</t>
  </si>
  <si>
    <t xml:space="preserve">Manhã</t>
  </si>
  <si>
    <t xml:space="preserve">Tarde</t>
  </si>
  <si>
    <t xml:space="preserve">Noite</t>
  </si>
  <si>
    <t xml:space="preserve">Lugares e endereços</t>
  </si>
  <si>
    <t xml:space="preserve">Carro a partir do hotel (32819)*</t>
  </si>
  <si>
    <t xml:space="preserve">Criança (soneca, carrinho, comida)</t>
  </si>
  <si>
    <t xml:space="preserve">Observações / horários</t>
  </si>
  <si>
    <t xml:space="preserve">27/11</t>
  </si>
  <si>
    <t xml:space="preserve">Sex</t>
  </si>
  <si>
    <t xml:space="preserve">✈️ Viagem</t>
  </si>
  <si>
    <t xml:space="preserve">—</t>
  </si>
  <si>
    <r>
      <rPr>
        <b val="true"/>
        <sz val="11"/>
        <color rgb="FF404040"/>
        <rFont val="Calibri"/>
        <family val="0"/>
        <charset val="1"/>
      </rPr>
      <t xml:space="preserve">✈️ VIAGEM — </t>
    </r>
    <r>
      <rPr>
        <sz val="11"/>
        <rFont val="Calibri"/>
        <family val="0"/>
        <charset val="1"/>
      </rPr>
      <t xml:space="preserve">Embarque Rio → Miami às 22:25.</t>
    </r>
  </si>
  <si>
    <t xml:space="preserve">Aeroporto do Galeão (GIG)</t>
  </si>
  <si>
    <t xml:space="preserve">Carrinho vai até a porta do avião. Levar no bagagem de mão: troca de roupa, fraldas para ~12h, lanches, mamadeira/copo, brinquedo novo. Tentar manter o ritual de dormir no voo.</t>
  </si>
  <si>
    <t xml:space="preserve">26/11 é Ação de Graças e 27/11 é a Black Friday (vocês estarão voando) — as ofertas online da Black Friday/Cyber Monday valem até 30/11.</t>
  </si>
  <si>
    <t xml:space="preserve">28/11</t>
  </si>
  <si>
    <t xml:space="preserve">Sáb</t>
  </si>
  <si>
    <t xml:space="preserve">✈️ Viagem + 🛒 Mercado</t>
  </si>
  <si>
    <r>
      <rPr>
        <b val="true"/>
        <sz val="11"/>
        <color rgb="FF404040"/>
        <rFont val="Calibri"/>
        <family val="0"/>
        <charset val="1"/>
      </rPr>
      <t xml:space="preserve">✈️ VIAGEM — </t>
    </r>
    <r>
      <rPr>
        <sz val="11"/>
        <rFont val="Calibri"/>
        <family val="0"/>
        <charset val="1"/>
      </rPr>
      <t xml:space="preserve">Chegada em Miami (madrugada/manhã cedo — conferir no bilhete), imigração, retirada do carro (cadeirinha!) e café da manhã. Seguir pela Florida's Turnpike até Orlando.</t>
    </r>
  </si>
  <si>
    <r>
      <rPr>
        <b val="true"/>
        <sz val="11"/>
        <color rgb="FF404040"/>
        <rFont val="Calibri"/>
        <family val="0"/>
        <charset val="1"/>
      </rPr>
      <t xml:space="preserve">✈️ VIAGEM — </t>
    </r>
    <r>
      <rPr>
        <sz val="11"/>
        <rFont val="Calibri"/>
        <family val="0"/>
        <charset val="1"/>
      </rPr>
      <t xml:space="preserve">Chegada em Orlando por volta do meio-dia/início da tarde. Check-in (pedir early check-in).
</t>
    </r>
    <r>
      <rPr>
        <b val="true"/>
        <sz val="11"/>
        <color rgb="FF0B5345"/>
        <rFont val="Calibri"/>
        <family val="0"/>
        <charset val="1"/>
      </rPr>
      <t xml:space="preserve">🛒 MERCADO — </t>
    </r>
    <r>
      <rPr>
        <sz val="11"/>
        <rFont val="Calibri"/>
        <family val="0"/>
        <charset val="1"/>
      </rPr>
      <t xml:space="preserve">Parada rápida no Walmart Supercenter Turkey Lake (⭐ da sua planilha) para fraldas, lenços, leite, frutas, água, lanches, protetor solar.</t>
    </r>
  </si>
  <si>
    <r>
      <rPr>
        <b val="true"/>
        <sz val="11"/>
        <color rgb="FF7F6000"/>
        <rFont val="Calibri"/>
        <family val="0"/>
        <charset val="1"/>
      </rPr>
      <t xml:space="preserve">😴 DESCANSO/SONECA — </t>
    </r>
    <r>
      <rPr>
        <sz val="11"/>
        <rFont val="Calibri"/>
        <family val="0"/>
        <charset val="1"/>
      </rPr>
      <t xml:space="preserve">Jantar perto do hotel e dormir cedo.</t>
    </r>
  </si>
  <si>
    <t xml:space="preserve">Walmart Supercenter – 8990 Turkey Lake Rd, Orlando, FL 32819 (alternativa: Target Millenia ⭐ – 4750 Millenia Plaza Way, Orlando, FL 32839)</t>
  </si>
  <si>
    <t xml:space="preserve">MIA → hotel: ~4h30 sem trânsito (~377 km); contar 5h–5h30 com paradas. Walmart: ~10 min do hotel.</t>
  </si>
  <si>
    <t xml:space="preserve">Criança dorme no carro — planejar a parada principal para depois do cochilo. Paradas nas áreas de serviço da Turnpike. Lei da Flórida exige cadeirinha para menores de 4 anos.</t>
  </si>
  <si>
    <t xml:space="preserve">Pedágios: confirmar o programa de pedágio da locadora. Opção B (NÃO recomendada): Sawgrass Mills abre de manhã, mas sábado pós-Black Friday + noite sem dormir com criança = muito desgaste.</t>
  </si>
  <si>
    <t xml:space="preserve">29/11</t>
  </si>
  <si>
    <t xml:space="preserve">Dom</t>
  </si>
  <si>
    <t xml:space="preserve">🛍️ Compras leves + 🎟️ ingressos (Disney Springs)</t>
  </si>
  <si>
    <r>
      <rPr>
        <b val="true"/>
        <sz val="11"/>
        <color rgb="FF7F6000"/>
        <rFont val="Calibri"/>
        <family val="0"/>
        <charset val="1"/>
      </rPr>
      <t xml:space="preserve">😴 DESCANSO/SONECA — </t>
    </r>
    <r>
      <rPr>
        <sz val="11"/>
        <rFont val="Calibri"/>
        <family val="0"/>
        <charset val="1"/>
      </rPr>
      <t xml:space="preserve">Dormir sem despertador, café da manhã sem pressa.</t>
    </r>
  </si>
  <si>
    <r>
      <rPr>
        <b val="true"/>
        <sz val="11"/>
        <color rgb="FF7F6000"/>
        <rFont val="Calibri"/>
        <family val="0"/>
        <charset val="1"/>
      </rPr>
      <t xml:space="preserve">😴 DESCANSO/SONECA — </t>
    </r>
    <r>
      <rPr>
        <sz val="11"/>
        <rFont val="Calibri"/>
        <family val="0"/>
        <charset val="1"/>
      </rPr>
      <t xml:space="preserve">Soneca no hotel.
</t>
    </r>
    <r>
      <rPr>
        <b val="true"/>
        <sz val="11"/>
        <color rgb="FFC55A11"/>
        <rFont val="Calibri"/>
        <family val="0"/>
        <charset val="1"/>
      </rPr>
      <t xml:space="preserve">🎢 PARQUE — </t>
    </r>
    <r>
      <rPr>
        <sz val="11"/>
        <rFont val="Calibri"/>
        <family val="0"/>
        <charset val="1"/>
      </rPr>
      <t xml:space="preserve">~15h30, Disney Springs: retirar os ingressos de 3 dias no Disney Ticket Center (Town Center), para o Magic Kingdom de amanhã começar sem fila de bilheteria.
</t>
    </r>
    <r>
      <rPr>
        <b val="true"/>
        <sz val="11"/>
        <color rgb="FF1F4E79"/>
        <rFont val="Calibri"/>
        <family val="0"/>
        <charset val="1"/>
      </rPr>
      <t xml:space="preserve">🛍️ COMPRAS — </t>
    </r>
    <r>
      <rPr>
        <sz val="11"/>
        <rFont val="Calibri"/>
        <family val="0"/>
        <charset val="1"/>
      </rPr>
      <t xml:space="preserve">Compras leves no mesmo passeio: World of Disney e lojas de Disney Springs, com o carrinho, sem pressa. Christmas Tree Stroll se sobrar pique.</t>
    </r>
  </si>
  <si>
    <r>
      <rPr>
        <b val="true"/>
        <sz val="11"/>
        <color rgb="FF7F6000"/>
        <rFont val="Calibri"/>
        <family val="0"/>
        <charset val="1"/>
      </rPr>
      <t xml:space="preserve">😴 DESCANSO/SONECA — </t>
    </r>
    <r>
      <rPr>
        <sz val="11"/>
        <rFont val="Calibri"/>
        <family val="0"/>
        <charset val="1"/>
      </rPr>
      <t xml:space="preserve">Jantar cedo (Disney Springs ou perto do hotel); preparar a mochila do Magic Kingdom.</t>
    </r>
  </si>
  <si>
    <t xml:space="preserve">Disney Springs – Lake Buena Vista, FL 32830 (estacionamento grátis) | Disney Ticket Center – Town Center de Disney Springs</t>
  </si>
  <si>
    <t xml:space="preserve">~20–25 min</t>
  </si>
  <si>
    <t xml:space="preserve">Disney Springs é plano e bom para carrinho. Levar a confirmação da compra, o cartão usado e documento com foto para a retirada.</t>
  </si>
  <si>
    <t xml:space="preserve">Domingo do fim de semana de Black Friday: Disney Springs lota no fim da tarde — ir logo depois da soneca e voltar cedo. Retirada dos ingressos: o procedimento que encontrei é de 2022; CONFIRMAR no e-mail da compra se o ingresso já está no My Disney Experience (nesse caso não precisa retirar nada) e o horário do Ticket Center.</t>
  </si>
  <si>
    <t xml:space="preserve">30/11</t>
  </si>
  <si>
    <t xml:space="preserve">Seg</t>
  </si>
  <si>
    <t xml:space="preserve">🎢 Parque</t>
  </si>
  <si>
    <r>
      <rPr>
        <b val="true"/>
        <sz val="11"/>
        <color rgb="FFC55A11"/>
        <rFont val="Calibri"/>
        <family val="0"/>
        <charset val="1"/>
      </rPr>
      <t xml:space="preserve">🎢 PARQUE — </t>
    </r>
    <r>
      <rPr>
        <sz val="11"/>
        <rFont val="Calibri"/>
        <family val="0"/>
        <charset val="1"/>
      </rPr>
      <t xml:space="preserve">⭐ Magic Kingdom (fixo)</t>
    </r>
  </si>
  <si>
    <r>
      <rPr>
        <b val="true"/>
        <sz val="11"/>
        <color rgb="FFC55A11"/>
        <rFont val="Calibri"/>
        <family val="0"/>
        <charset val="1"/>
      </rPr>
      <t xml:space="preserve">🎢 PARQUE — </t>
    </r>
    <r>
      <rPr>
        <sz val="11"/>
        <rFont val="Calibri"/>
        <family val="0"/>
        <charset val="1"/>
      </rPr>
      <t xml:space="preserve">⭐ Magic Kingdom</t>
    </r>
  </si>
  <si>
    <t xml:space="preserve">Magic Kingdom – estacionamento no Transportation &amp; Ticket Center</t>
  </si>
  <si>
    <t xml:space="preserve">~25–35 min</t>
  </si>
  <si>
    <t xml:space="preserve">Soneca no carrinho dentro do parque ou pausa no meio do dia.</t>
  </si>
  <si>
    <t xml:space="preserve">Cyber Monday — bom dia para compras online com entrega no hotel (confirmar se o hotel recebe encomendas).</t>
  </si>
  <si>
    <t xml:space="preserve">01/12</t>
  </si>
  <si>
    <t xml:space="preserve">Ter</t>
  </si>
  <si>
    <t xml:space="preserve">🛍️ Compras (outlets) + 💄 Beleza</t>
  </si>
  <si>
    <r>
      <rPr>
        <b val="true"/>
        <sz val="11"/>
        <color rgb="FF1F4E79"/>
        <rFont val="Calibri"/>
        <family val="0"/>
        <charset val="1"/>
      </rPr>
      <t xml:space="preserve">🛍️ COMPRAS — </t>
    </r>
    <r>
      <rPr>
        <sz val="11"/>
        <rFont val="Calibri"/>
        <family val="0"/>
        <charset val="1"/>
      </rPr>
      <t xml:space="preserve">10h (abertura): Orlando International Premium Outlets. Focos ⭐: Nike Factory, Crocs, Levi's, Calvin Klein. Também: Carter's, RL Children's, Coach, Character Warehouse (menor e menos lotada que a de Vineland). Almoço na praça de alimentação.</t>
    </r>
  </si>
  <si>
    <r>
      <rPr>
        <b val="true"/>
        <sz val="11"/>
        <color rgb="FF7F6000"/>
        <rFont val="Calibri"/>
        <family val="0"/>
        <charset val="1"/>
      </rPr>
      <t xml:space="preserve">😴 DESCANSO/SONECA — </t>
    </r>
    <r>
      <rPr>
        <sz val="11"/>
        <rFont val="Calibri"/>
        <family val="0"/>
        <charset val="1"/>
      </rPr>
      <t xml:space="preserve">~13h volta ao hotel para a soneca.
</t>
    </r>
    <r>
      <rPr>
        <b val="true"/>
        <sz val="11"/>
        <color rgb="FF1F4E79"/>
        <rFont val="Calibri"/>
        <family val="0"/>
        <charset val="1"/>
      </rPr>
      <t xml:space="preserve">🛍️ COMPRAS — </t>
    </r>
    <r>
      <rPr>
        <sz val="11"/>
        <rFont val="Calibri"/>
        <family val="0"/>
        <charset val="1"/>
      </rPr>
      <t xml:space="preserve">~16h: Orlando Outlet Marketplace (Nike Clearance, adidas, Carter's Clearance, Levi's, Calvin Klein) + Ross I-Drive 5295 ⭐ + Five Below.
</t>
    </r>
    <r>
      <rPr>
        <b val="true"/>
        <sz val="11"/>
        <color rgb="FF9C1F6B"/>
        <rFont val="Calibri"/>
        <family val="0"/>
        <charset val="1"/>
      </rPr>
      <t xml:space="preserve">💄 BELEZA — </t>
    </r>
    <r>
      <rPr>
        <sz val="11"/>
        <rFont val="Calibri"/>
        <family val="0"/>
        <charset val="1"/>
      </rPr>
      <t xml:space="preserve">Ulta International Blvd ⭐ — tudo no mesmo trecho da I-Drive.</t>
    </r>
  </si>
  <si>
    <r>
      <rPr>
        <b val="true"/>
        <sz val="11"/>
        <color rgb="FF7F6000"/>
        <rFont val="Calibri"/>
        <family val="0"/>
        <charset val="1"/>
      </rPr>
      <t xml:space="preserve">😴 DESCANSO/SONECA — </t>
    </r>
    <r>
      <rPr>
        <sz val="11"/>
        <rFont val="Calibri"/>
        <family val="0"/>
        <charset val="1"/>
      </rPr>
      <t xml:space="preserve">Jantar na I-Drive.</t>
    </r>
  </si>
  <si>
    <t xml:space="preserve">Orlando International Premium Outlets – 4951 International Dr, Orlando, FL 32819 | Orlando Outlet Marketplace – 5269 International Dr | Ross – 5295 International Dr | Five Below – 5295 International Dr, Ste 660 | Ulta – 5295 International Blvd, Ste 100-A (todos em Orlando, FL 32819)</t>
  </si>
  <si>
    <t xml:space="preserve">International: ~10–15 min | Outlet Marketplace: ~5–10 min</t>
  </si>
  <si>
    <t xml:space="preserve">Leve o seu carrinho (o outlet também aluga em 5 pontos). Carter's Clearance é apertada para carrinho. Soneca no hotel (10 min).</t>
  </si>
  <si>
    <t xml:space="preserve">Horário: seg–sáb 10h–21h, dom 11h–19h. O balcão Simon Guest Services do International fecha ter–qua → pegue os cupons antes, online (Simon / Premium Outlets VIP, grátis). Estacionamento é o ponto fraco: chegar na abertura; valet US$15. Terça depois da Cyber Monday tende a ser mais tranquila que o fim de semana.</t>
  </si>
  <si>
    <t xml:space="preserve">02/12</t>
  </si>
  <si>
    <t xml:space="preserve">Qua</t>
  </si>
  <si>
    <r>
      <rPr>
        <b val="true"/>
        <sz val="11"/>
        <color rgb="FFC55A11"/>
        <rFont val="Calibri"/>
        <family val="0"/>
        <charset val="1"/>
      </rPr>
      <t xml:space="preserve">🎢 PARQUE — </t>
    </r>
    <r>
      <rPr>
        <sz val="11"/>
        <rFont val="Calibri"/>
        <family val="0"/>
        <charset val="1"/>
      </rPr>
      <t xml:space="preserve">⭐ Animal Kingdom (fixo)</t>
    </r>
  </si>
  <si>
    <r>
      <rPr>
        <b val="true"/>
        <sz val="11"/>
        <color rgb="FFC55A11"/>
        <rFont val="Calibri"/>
        <family val="0"/>
        <charset val="1"/>
      </rPr>
      <t xml:space="preserve">🎢 PARQUE — </t>
    </r>
    <r>
      <rPr>
        <sz val="11"/>
        <rFont val="Calibri"/>
        <family val="0"/>
        <charset val="1"/>
      </rPr>
      <t xml:space="preserve">⭐ Animal Kingdom</t>
    </r>
  </si>
  <si>
    <t xml:space="preserve">Disney's Animal Kingdom</t>
  </si>
  <si>
    <t xml:space="preserve">~25–30 min</t>
  </si>
  <si>
    <t xml:space="preserve">Parque abre/fecha mais cedo; bom para a rotina da criança.</t>
  </si>
  <si>
    <t xml:space="preserve">Sua planilha sugere Vineland na volta de um parque Disney — com criança cansada não recomendo; Vineland ficou para 11/12.</t>
  </si>
  <si>
    <t xml:space="preserve">03/12</t>
  </si>
  <si>
    <t xml:space="preserve">Qui</t>
  </si>
  <si>
    <r>
      <rPr>
        <b val="true"/>
        <sz val="11"/>
        <color rgb="FFC55A11"/>
        <rFont val="Calibri"/>
        <family val="0"/>
        <charset val="1"/>
      </rPr>
      <t xml:space="preserve">🎢 PARQUE — </t>
    </r>
    <r>
      <rPr>
        <sz val="11"/>
        <rFont val="Calibri"/>
        <family val="0"/>
        <charset val="1"/>
      </rPr>
      <t xml:space="preserve">⭐ Hollywood Studios (fixo)</t>
    </r>
  </si>
  <si>
    <r>
      <rPr>
        <b val="true"/>
        <sz val="11"/>
        <color rgb="FFC55A11"/>
        <rFont val="Calibri"/>
        <family val="0"/>
        <charset val="1"/>
      </rPr>
      <t xml:space="preserve">🎢 PARQUE — </t>
    </r>
    <r>
      <rPr>
        <sz val="11"/>
        <rFont val="Calibri"/>
        <family val="0"/>
        <charset val="1"/>
      </rPr>
      <t xml:space="preserve">⭐ Hollywood Studios</t>
    </r>
  </si>
  <si>
    <t xml:space="preserve">Disney's Hollywood Studios</t>
  </si>
  <si>
    <t xml:space="preserve">~20–30 min</t>
  </si>
  <si>
    <t xml:space="preserve">04/12</t>
  </si>
  <si>
    <t xml:space="preserve">🛍️ Compras leves + 🎡 Passeio (ICON Park)</t>
  </si>
  <si>
    <r>
      <rPr>
        <b val="true"/>
        <sz val="11"/>
        <color rgb="FF1F4E79"/>
        <rFont val="Calibri"/>
        <family val="0"/>
        <charset val="1"/>
      </rPr>
      <t xml:space="preserve">🛍️ COMPRAS — </t>
    </r>
    <r>
      <rPr>
        <sz val="11"/>
        <rFont val="Calibri"/>
        <family val="0"/>
        <charset val="1"/>
      </rPr>
      <t xml:space="preserve">~10h30, sem pressa: Ross Dress for Less Turkey Lake ⭐ (4,4★) — roupa e infantil off-price.
</t>
    </r>
    <r>
      <rPr>
        <b val="true"/>
        <sz val="11"/>
        <color rgb="FF0B5345"/>
        <rFont val="Calibri"/>
        <family val="0"/>
        <charset val="1"/>
      </rPr>
      <t xml:space="preserve">🛒 MERCADO — </t>
    </r>
    <r>
      <rPr>
        <sz val="11"/>
        <rFont val="Calibri"/>
        <family val="0"/>
        <charset val="1"/>
      </rPr>
      <t xml:space="preserve">Depois, Walmart Turkey Lake (a 2 min do Ross) para repor fraldas/lanches ou lembrancinhas, se precisar.</t>
    </r>
  </si>
  <si>
    <r>
      <rPr>
        <b val="true"/>
        <sz val="11"/>
        <color rgb="FF7F6000"/>
        <rFont val="Calibri"/>
        <family val="0"/>
        <charset val="1"/>
      </rPr>
      <t xml:space="preserve">😴 DESCANSO/SONECA — </t>
    </r>
    <r>
      <rPr>
        <sz val="11"/>
        <rFont val="Calibri"/>
        <family val="0"/>
        <charset val="1"/>
      </rPr>
      <t xml:space="preserve">Almoço perto do hotel e soneca (~13h).
</t>
    </r>
    <r>
      <rPr>
        <b val="true"/>
        <sz val="11"/>
        <color rgb="FF375623"/>
        <rFont val="Calibri"/>
        <family val="0"/>
        <charset val="1"/>
      </rPr>
      <t xml:space="preserve">🎡 PASSEIO — </t>
    </r>
    <r>
      <rPr>
        <sz val="11"/>
        <rFont val="Calibri"/>
        <family val="0"/>
        <charset val="1"/>
      </rPr>
      <t xml:space="preserve">~16h30: ICON Park, chegando antes do pôr do sol (~17h30 em dezembro). The Wheel (roda-gigante, cabine fechada, ~20 min), carrossel, Pearl Express Train e o playground. Estacionamento grátis na garagem (andares 4–7).</t>
    </r>
  </si>
  <si>
    <r>
      <rPr>
        <b val="true"/>
        <sz val="11"/>
        <color rgb="FF375623"/>
        <rFont val="Calibri"/>
        <family val="0"/>
        <charset val="1"/>
      </rPr>
      <t xml:space="preserve">🎡 PASSEIO — </t>
    </r>
    <r>
      <rPr>
        <sz val="11"/>
        <rFont val="Calibri"/>
        <family val="0"/>
        <charset val="1"/>
      </rPr>
      <t xml:space="preserve">Jantar perto do ICON Park e volta cedo — dia leve depois de dois parques seguidos.</t>
    </r>
  </si>
  <si>
    <t xml:space="preserve">Ross – 7603 Turkey Lake Rd, Orlando, FL 32819 | Walmart – 8990 Turkey Lake Rd, Orlando, FL 32819 | ICON Park – 8375 International Dr, Orlando, FL 32819</t>
  </si>
  <si>
    <t xml:space="preserve">Ross / Walmart: ~5–10 min | ICON Park: ~5 min</t>
  </si>
  <si>
    <t xml:space="preserve">The Wheel é uma cabine fechada de ~20 min: se a criança estiver agitada, o carrossel e o playground são o plano B. Confirmar no site do ICON Park a regra/preço de ingresso para criança de 2 anos antes de comprar.</t>
  </si>
  <si>
    <t xml:space="preserve">Interpretei "Interpark" como ICON Park (I-Drive). The Wheel a partir de US$29,99 por adulto (preço de referência; confirmar). Horários do ICON Park não confirmados — ver no site no dia. A Crayola saiu deste dia e virou opcional no sábado (05/12).</t>
  </si>
  <si>
    <t xml:space="preserve">05/12</t>
  </si>
  <si>
    <t xml:space="preserve">🎡 Passeio (Play Park) + 🛍️ Compras — Florida Mall</t>
  </si>
  <si>
    <r>
      <rPr>
        <b val="true"/>
        <sz val="11"/>
        <color rgb="FF375623"/>
        <rFont val="Calibri"/>
        <family val="0"/>
        <charset val="1"/>
      </rPr>
      <t xml:space="preserve">🎡 PASSEIO — </t>
    </r>
    <r>
      <rPr>
        <sz val="11"/>
        <rFont val="Calibri"/>
        <family val="0"/>
        <charset val="1"/>
      </rPr>
      <t xml:space="preserve">10h (abertura): Florida Mall — Play Park (parquinho coberto grátis) para gastar energia. Opcional: Crayola Experience (até 2 anos grátis; 1h30–2h) — escolher uma das duas.</t>
    </r>
  </si>
  <si>
    <r>
      <rPr>
        <b val="true"/>
        <sz val="11"/>
        <color rgb="FF7F6000"/>
        <rFont val="Calibri"/>
        <family val="0"/>
        <charset val="1"/>
      </rPr>
      <t xml:space="preserve">😴 DESCANSO/SONECA — </t>
    </r>
    <r>
      <rPr>
        <sz val="11"/>
        <rFont val="Calibri"/>
        <family val="0"/>
        <charset val="1"/>
      </rPr>
      <t xml:space="preserve">Almoço no Dining Pavilion. Soneca (no carrinho ou no hotel, ~10–15 min).
</t>
    </r>
    <r>
      <rPr>
        <b val="true"/>
        <sz val="11"/>
        <color rgb="FF1F4E79"/>
        <rFont val="Calibri"/>
        <family val="0"/>
        <charset val="1"/>
      </rPr>
      <t xml:space="preserve">🛍️ COMPRAS — </t>
    </r>
    <r>
      <rPr>
        <sz val="11"/>
        <rFont val="Calibri"/>
        <family val="0"/>
        <charset val="1"/>
      </rPr>
      <t xml:space="preserve">Revezamento: um adulto fica com a criança no shopping (Primark, Macy's, JCPenney, Uniqlo, Zara, American Girl, Build-A-Bear, Crayola Store) e o outro vai ao corredor da S Orange Blossom Trail: Burlington Florida Mall ⭐ e Best Buy Florida Mall ⭐.</t>
    </r>
  </si>
  <si>
    <r>
      <rPr>
        <b val="true"/>
        <sz val="11"/>
        <color rgb="FF375623"/>
        <rFont val="Calibri"/>
        <family val="0"/>
        <charset val="1"/>
      </rPr>
      <t xml:space="preserve">🎡 PASSEIO — </t>
    </r>
    <r>
      <rPr>
        <sz val="11"/>
        <rFont val="Calibri"/>
        <family val="0"/>
        <charset val="1"/>
      </rPr>
      <t xml:space="preserve">Opcional: 'Now Snowing' no Celebration Town Center — neve artificial grátis às 18h (repete 19h, 20h, 21h). Jantar cedo em Celebration e volta.</t>
    </r>
  </si>
  <si>
    <t xml:space="preserve">The Florida Mall (Play Park, Crayola) – 8001 S Orange Blossom Trl, Orlando, FL 32809 | Burlington – 8204 S Orange Blossom Trl | Best Buy – 8350 S Orange Blossom Trl | Celebration Town Center – Market St, Celebration, FL 34747</t>
  </si>
  <si>
    <t xml:space="preserve">Florida Mall: ~10–15 min | Celebration: ~25–30 min</t>
  </si>
  <si>
    <t xml:space="preserve">Florida Mall tem aluguel de carrinho, banheiros família e fraldário no Dining Pavilion. Ver a neve das 18h e voltar — a festa é amanhã.</t>
  </si>
  <si>
    <t xml:space="preserve">Florida Mall no sábado: seg–qui 10h–20h, sex–sáb 10h–21h — chegar na abertura, o shopping lota depois. Gatorland saiu do roteiro (continua na aba "Lugares com criança").</t>
  </si>
  <si>
    <t xml:space="preserve">06/12</t>
  </si>
  <si>
    <t xml:space="preserve">🎢 Parque (festa)</t>
  </si>
  <si>
    <r>
      <rPr>
        <b val="true"/>
        <sz val="11"/>
        <color rgb="FF7F6000"/>
        <rFont val="Calibri"/>
        <family val="0"/>
        <charset val="1"/>
      </rPr>
      <t xml:space="preserve">😴 DESCANSO/SONECA — </t>
    </r>
    <r>
      <rPr>
        <sz val="11"/>
        <rFont val="Calibri"/>
        <family val="0"/>
        <charset val="1"/>
      </rPr>
      <t xml:space="preserve">Dormir até mais tarde; almoço cedo.</t>
    </r>
  </si>
  <si>
    <r>
      <rPr>
        <b val="true"/>
        <sz val="11"/>
        <color rgb="FF7F6000"/>
        <rFont val="Calibri"/>
        <family val="0"/>
        <charset val="1"/>
      </rPr>
      <t xml:space="preserve">😴 DESCANSO/SONECA — </t>
    </r>
    <r>
      <rPr>
        <sz val="11"/>
        <rFont val="Calibri"/>
        <family val="0"/>
        <charset val="1"/>
      </rPr>
      <t xml:space="preserve">Soneca longa ANTES da festa (13h–15h).
</t>
    </r>
    <r>
      <rPr>
        <b val="true"/>
        <sz val="11"/>
        <color rgb="FFC55A11"/>
        <rFont val="Calibri"/>
        <family val="0"/>
        <charset val="1"/>
      </rPr>
      <t xml:space="preserve">🎢 PARQUE — </t>
    </r>
    <r>
      <rPr>
        <sz val="11"/>
        <rFont val="Calibri"/>
        <family val="0"/>
        <charset val="1"/>
      </rPr>
      <t xml:space="preserve">⭐ Mickey's Very Merry Christmas Party a partir das 16h.</t>
    </r>
  </si>
  <si>
    <r>
      <rPr>
        <b val="true"/>
        <sz val="11"/>
        <color rgb="FFC55A11"/>
        <rFont val="Calibri"/>
        <family val="0"/>
        <charset val="1"/>
      </rPr>
      <t xml:space="preserve">🎢 PARQUE — </t>
    </r>
    <r>
      <rPr>
        <sz val="11"/>
        <rFont val="Calibri"/>
        <family val="0"/>
        <charset val="1"/>
      </rPr>
      <t xml:space="preserve">⭐ Festa no Magic Kingdom (termina tarde).</t>
    </r>
  </si>
  <si>
    <t xml:space="preserve">Magic Kingdom</t>
  </si>
  <si>
    <t xml:space="preserve">Pijama no carro para a volta; casaco leve (noites de dezembro podem esfriar); capa de chuva para o carrinho.</t>
  </si>
  <si>
    <t xml:space="preserve">Fixo.</t>
  </si>
  <si>
    <t xml:space="preserve">07/12</t>
  </si>
  <si>
    <t xml:space="preserve">😴 Descanso</t>
  </si>
  <si>
    <r>
      <rPr>
        <b val="true"/>
        <sz val="11"/>
        <color rgb="FF7F6000"/>
        <rFont val="Calibri"/>
        <family val="0"/>
        <charset val="1"/>
      </rPr>
      <t xml:space="preserve">😴 DESCANSO/SONECA — </t>
    </r>
    <r>
      <rPr>
        <sz val="11"/>
        <rFont val="Calibri"/>
        <family val="0"/>
        <charset val="1"/>
      </rPr>
      <t xml:space="preserve">Dormir sem despertador, sem horário.
</t>
    </r>
    <r>
      <rPr>
        <b val="true"/>
        <sz val="11"/>
        <color rgb="FF375623"/>
        <rFont val="Calibri"/>
        <family val="0"/>
        <charset val="1"/>
      </rPr>
      <t xml:space="preserve">🎡 PASSEIO — </t>
    </r>
    <r>
      <rPr>
        <sz val="11"/>
        <rFont val="Calibri"/>
        <family val="0"/>
        <charset val="1"/>
      </rPr>
      <t xml:space="preserve">Opcional (só se a criança acordar bem), fim da manhã: Harry P. Leu Gardens — 07/12/2026 é dia de entrada gratuita.</t>
    </r>
  </si>
  <si>
    <r>
      <rPr>
        <b val="true"/>
        <sz val="11"/>
        <color rgb="FF7F6000"/>
        <rFont val="Calibri"/>
        <family val="0"/>
        <charset val="1"/>
      </rPr>
      <t xml:space="preserve">😴 DESCANSO/SONECA — </t>
    </r>
    <r>
      <rPr>
        <sz val="11"/>
        <rFont val="Calibri"/>
        <family val="0"/>
        <charset val="1"/>
      </rPr>
      <t xml:space="preserve">Soneca.
</t>
    </r>
    <r>
      <rPr>
        <b val="true"/>
        <sz val="11"/>
        <color rgb="FF0B5345"/>
        <rFont val="Calibri"/>
        <family val="0"/>
        <charset val="1"/>
      </rPr>
      <t xml:space="preserve">🛒 MERCADO — </t>
    </r>
    <r>
      <rPr>
        <sz val="11"/>
        <rFont val="Calibri"/>
        <family val="0"/>
        <charset val="1"/>
      </rPr>
      <t xml:space="preserve">Se precisar: reposição rápida no Walmart Turkey Lake ou Target.</t>
    </r>
  </si>
  <si>
    <r>
      <rPr>
        <b val="true"/>
        <sz val="11"/>
        <color rgb="FF7F6000"/>
        <rFont val="Calibri"/>
        <family val="0"/>
        <charset val="1"/>
      </rPr>
      <t xml:space="preserve">😴 DESCANSO/SONECA — </t>
    </r>
    <r>
      <rPr>
        <sz val="11"/>
        <rFont val="Calibri"/>
        <family val="0"/>
        <charset val="1"/>
      </rPr>
      <t xml:space="preserve">Jantar cedo perto do hotel.</t>
    </r>
  </si>
  <si>
    <t xml:space="preserve">Harry P. Leu Gardens – 1920 N Forest Ave, Orlando, FL 32803 | Walmart – 8990 Turkey Lake Rd, Orlando, FL 32819</t>
  </si>
  <si>
    <t xml:space="preserve">Leu Gardens: ~25 min | Walmart: ~10 min</t>
  </si>
  <si>
    <t xml:space="preserve">Dia de recuperação pós-festa: sem horário, sem compromisso.</t>
  </si>
  <si>
    <t xml:space="preserve">Leu Gardens: 9h–16h (última entrada 15h) nesta época; dia grátis pode lotar. Atenção: os barcos-cisne do Lake Eola NÃO funcionam às segundas.</t>
  </si>
  <si>
    <t xml:space="preserve">08/12</t>
  </si>
  <si>
    <t xml:space="preserve">🛍️ Compras + 🛒 Mercado + 💄 Beleza</t>
  </si>
  <si>
    <r>
      <rPr>
        <b val="true"/>
        <sz val="11"/>
        <color rgb="FF0B5345"/>
        <rFont val="Calibri"/>
        <family val="0"/>
        <charset val="1"/>
      </rPr>
      <t xml:space="preserve">🛒 MERCADO — </t>
    </r>
    <r>
      <rPr>
        <sz val="11"/>
        <rFont val="Calibri"/>
        <family val="0"/>
        <charset val="1"/>
      </rPr>
      <t xml:space="preserve">9h30: Millenia Plaza — Target Millenia ⭐ (mercado enorme, merch Disney).
</t>
    </r>
    <r>
      <rPr>
        <b val="true"/>
        <sz val="11"/>
        <color rgb="FF1F4E79"/>
        <rFont val="Calibri"/>
        <family val="0"/>
        <charset val="1"/>
      </rPr>
      <t xml:space="preserve">🛍️ COMPRAS — </t>
    </r>
    <r>
      <rPr>
        <sz val="11"/>
        <rFont val="Calibri"/>
        <family val="0"/>
        <charset val="1"/>
      </rPr>
      <t xml:space="preserve">Best Buy Millenia ⭐, Ross e Marshalls no mesmo complexo.
</t>
    </r>
    <r>
      <rPr>
        <b val="true"/>
        <sz val="11"/>
        <color rgb="FF9C1F6B"/>
        <rFont val="Calibri"/>
        <family val="0"/>
        <charset val="1"/>
      </rPr>
      <t xml:space="preserve">💄 BELEZA — </t>
    </r>
    <r>
      <rPr>
        <sz val="11"/>
        <rFont val="Calibri"/>
        <family val="0"/>
        <charset val="1"/>
      </rPr>
      <t xml:space="preserve">Ulta (Millenia Plaza Way).
</t>
    </r>
    <r>
      <rPr>
        <b val="true"/>
        <sz val="11"/>
        <color rgb="FF1F4E79"/>
        <rFont val="Calibri"/>
        <family val="0"/>
        <charset val="1"/>
      </rPr>
      <t xml:space="preserve">🛍️ COMPRAS — </t>
    </r>
    <r>
      <rPr>
        <sz val="11"/>
        <rFont val="Calibri"/>
        <family val="0"/>
        <charset val="1"/>
      </rPr>
      <t xml:space="preserve">~10h30: Nordstrom Rack Eastgate ⭐ (4036 Eastgate Dr, abre 10h) — poucos minutos de carro de Millenia Plaza. Depois, 11h30: The Mall at Millenia (Apple, Macy's, Bloomingdale's, Neiman Marcus). Almoço no shopping.</t>
    </r>
  </si>
  <si>
    <r>
      <rPr>
        <b val="true"/>
        <sz val="11"/>
        <color rgb="FF7F6000"/>
        <rFont val="Calibri"/>
        <family val="0"/>
        <charset val="1"/>
      </rPr>
      <t xml:space="preserve">😴 DESCANSO/SONECA — </t>
    </r>
    <r>
      <rPr>
        <sz val="11"/>
        <rFont val="Calibri"/>
        <family val="0"/>
        <charset val="1"/>
      </rPr>
      <t xml:space="preserve">~13h30 volta ao hotel para a soneca.</t>
    </r>
  </si>
  <si>
    <r>
      <rPr>
        <b val="true"/>
        <sz val="11"/>
        <color rgb="FF7F6000"/>
        <rFont val="Calibri"/>
        <family val="0"/>
        <charset val="1"/>
      </rPr>
      <t xml:space="preserve">😴 DESCANSO/SONECA — </t>
    </r>
    <r>
      <rPr>
        <sz val="11"/>
        <rFont val="Calibri"/>
        <family val="0"/>
        <charset val="1"/>
      </rPr>
      <t xml:space="preserve">Livre; preparar o dia do Epic Universe.</t>
    </r>
  </si>
  <si>
    <t xml:space="preserve">Target – 4750 Millenia Plaza Way | Best Buy – 4155 Millenia Blvd | Ross – 4661 Millenia Plaza Way | Marshalls – 4648 Millenia Plaza Way | Ulta – 4600 Millenia Plaza Way Ste 11 | The Mall at Millenia – 4200 Conroy Rd | Nordstrom Rack – 4036 Eastgate Dr, Orlando, FL 32839 (todos em Orlando, FL 32839)</t>
  </si>
  <si>
    <t xml:space="preserve">~10–15 min (Nordstrom Rack: ~10 min, estimativa)</t>
  </si>
  <si>
    <t xml:space="preserve">Tudo perto: dá para fazer só a parte da manhã e voltar. Target tem banheiro e lanches para a criança.</t>
  </si>
  <si>
    <t xml:space="preserve">Mall at Millenia: seg–sex 11h–21h, sáb 10h–21h, dom 11h–19h (horário de feriado 2026 ainda não publicado). Target e Best Buy: conferir o horário no app. Nordstrom Rack Eastgate: seg–sáb 10h–21h, dom 11h–19h; loja menor que a média, e reviews alertam para devolução rígida (compre o que for ficar).</t>
  </si>
  <si>
    <t xml:space="preserve">09/12</t>
  </si>
  <si>
    <r>
      <rPr>
        <b val="true"/>
        <sz val="11"/>
        <color rgb="FFC55A11"/>
        <rFont val="Calibri"/>
        <family val="0"/>
        <charset val="1"/>
      </rPr>
      <t xml:space="preserve">🎢 PARQUE — </t>
    </r>
    <r>
      <rPr>
        <sz val="11"/>
        <rFont val="Calibri"/>
        <family val="0"/>
        <charset val="1"/>
      </rPr>
      <t xml:space="preserve">⭐ Epic Universe (fixo)</t>
    </r>
  </si>
  <si>
    <r>
      <rPr>
        <b val="true"/>
        <sz val="11"/>
        <color rgb="FFC55A11"/>
        <rFont val="Calibri"/>
        <family val="0"/>
        <charset val="1"/>
      </rPr>
      <t xml:space="preserve">🎢 PARQUE — </t>
    </r>
    <r>
      <rPr>
        <sz val="11"/>
        <rFont val="Calibri"/>
        <family val="0"/>
        <charset val="1"/>
      </rPr>
      <t xml:space="preserve">⭐ Epic Universe</t>
    </r>
  </si>
  <si>
    <t xml:space="preserve">Epic Universe – Orlando, FL</t>
  </si>
  <si>
    <t xml:space="preserve">~5–10 min</t>
  </si>
  <si>
    <t xml:space="preserve">Muito perto do hotel: dá para voltar para a soneca e retornar.</t>
  </si>
  <si>
    <t xml:space="preserve">10/12</t>
  </si>
  <si>
    <t xml:space="preserve">🥞 Refeição especial (Chef Mickey's) + 🎡 Passeio + 🛍️ Compras leves</t>
  </si>
  <si>
    <r>
      <rPr>
        <b val="true"/>
        <sz val="11"/>
        <color rgb="FF5B2C83"/>
        <rFont val="Calibri"/>
        <family val="0"/>
        <charset val="1"/>
      </rPr>
      <t xml:space="preserve">🥞 REFEIÇÃO ESPECIAL — </t>
    </r>
    <r>
      <rPr>
        <sz val="11"/>
        <rFont val="Calibri"/>
        <family val="0"/>
        <charset val="1"/>
      </rPr>
      <t xml:space="preserve">Café da manhã com personagens no Chef Mickey's (Disney's Contemporary Resort) por volta das 9h — ver custos e decisão na aba "Chef Mickey's (custos)".
</t>
    </r>
    <r>
      <rPr>
        <b val="true"/>
        <sz val="11"/>
        <color rgb="FF375623"/>
        <rFont val="Calibri"/>
        <family val="0"/>
        <charset val="1"/>
      </rPr>
      <t xml:space="preserve">🎡 PASSEIO — </t>
    </r>
    <r>
      <rPr>
        <sz val="11"/>
        <rFont val="Calibri"/>
        <family val="0"/>
        <charset val="1"/>
      </rPr>
      <t xml:space="preserve">Depois: castelo de gingerbread do Contemporary e monotrilho para ver a decoração de Natal de outros hotéis (Polynesian / Grand Floridian).</t>
    </r>
  </si>
  <si>
    <r>
      <rPr>
        <b val="true"/>
        <sz val="11"/>
        <color rgb="FF7F6000"/>
        <rFont val="Calibri"/>
        <family val="0"/>
        <charset val="1"/>
      </rPr>
      <t xml:space="preserve">😴 DESCANSO/SONECA — </t>
    </r>
    <r>
      <rPr>
        <sz val="11"/>
        <rFont val="Calibri"/>
        <family val="0"/>
        <charset val="1"/>
      </rPr>
      <t xml:space="preserve">Volta ao hotel ~13h para a soneca.
</t>
    </r>
    <r>
      <rPr>
        <b val="true"/>
        <sz val="11"/>
        <color rgb="FF1F4E79"/>
        <rFont val="Calibri"/>
        <family val="0"/>
        <charset val="1"/>
      </rPr>
      <t xml:space="preserve">🛍️ COMPRAS — </t>
    </r>
    <r>
      <rPr>
        <sz val="11"/>
        <rFont val="Calibri"/>
        <family val="0"/>
        <charset val="1"/>
      </rPr>
      <t xml:space="preserve">~16h30: Disney Springs — World of Disney, Christmas Tree Stroll (mapa grátis, troca por um botton), Papai Noel (até 24/12, horários no app).</t>
    </r>
  </si>
  <si>
    <r>
      <rPr>
        <b val="true"/>
        <sz val="11"/>
        <color rgb="FF375623"/>
        <rFont val="Calibri"/>
        <family val="0"/>
        <charset val="1"/>
      </rPr>
      <t xml:space="preserve">🎡 PASSEIO — </t>
    </r>
    <r>
      <rPr>
        <sz val="11"/>
        <rFont val="Calibri"/>
        <family val="0"/>
        <charset val="1"/>
      </rPr>
      <t xml:space="preserve">Jantar em Disney Springs; neve noturna no Town Center; volta.</t>
    </r>
  </si>
  <si>
    <t xml:space="preserve">Disney's Contemporary Resort – 4600 N World Dr, Lake Buena Vista, FL 32830 | Disney Springs – Lake Buena Vista, FL 32830 (estacionamento grátis)</t>
  </si>
  <si>
    <t xml:space="preserve">Contemporary: ~25–35 min | Disney Springs: ~20–25 min</t>
  </si>
  <si>
    <t xml:space="preserve">Chef Mickey's: menores de 3 anos não pagam (confirmar na reserva). Deixar a soneca no hotel entre as duas partes do dia. Custo estimado para vocês: ~US$147–150 (2 adultos + criança grátis); detalhes na aba "Chef Mickey's (custos)".</t>
  </si>
  <si>
    <t xml:space="preserve">RESERVA: Disney libera reservas de restaurante 60 dias antes → para 10/12 isso é 11/10/2026 (AMANHÃ em relação a 10/10). Estacionamento no Contemporary: as fontes que achei dizem que é grátis com reserva de restaurante confirmada (mostrar a confirmação no portão), mas uma delas menciona tarifa de parque para visitantes — CONFIRMAR antes. Alternativa: Cape May Cafe (Beach Club) + carrossel de gingerbread. O Grand Floridian NÃO terá a casa gigante de gingerbread em 2026 (aposentada).</t>
  </si>
  <si>
    <t xml:space="preserve">11/12</t>
  </si>
  <si>
    <t xml:space="preserve">🛍️ Compras (outlets)</t>
  </si>
  <si>
    <r>
      <rPr>
        <b val="true"/>
        <sz val="11"/>
        <color rgb="FF1F4E79"/>
        <rFont val="Calibri"/>
        <family val="0"/>
        <charset val="1"/>
      </rPr>
      <t xml:space="preserve">🛍️ COMPRAS — </t>
    </r>
    <r>
      <rPr>
        <sz val="11"/>
        <rFont val="Calibri"/>
        <family val="0"/>
        <charset val="1"/>
      </rPr>
      <t xml:space="preserve">Chegar 9h30 (antes de abrir): Orlando Vineland Premium Outlets — Character Warehouse ⭐ (fila; reposição às 10h), Carter's ⭐, RL Children's ⭐ (cadastro grátis dá 25–30% extra), adidas ⭐, Nike ⭐, Coach ⭐, BOSS ⭐ (abre 11h). Almoço na praça de alimentação.</t>
    </r>
  </si>
  <si>
    <r>
      <rPr>
        <b val="true"/>
        <sz val="11"/>
        <color rgb="FF7F6000"/>
        <rFont val="Calibri"/>
        <family val="0"/>
        <charset val="1"/>
      </rPr>
      <t xml:space="preserve">😴 DESCANSO/SONECA — </t>
    </r>
    <r>
      <rPr>
        <sz val="11"/>
        <rFont val="Calibri"/>
        <family val="0"/>
        <charset val="1"/>
      </rPr>
      <t xml:space="preserve">Soneca no hotel (~15 min).
</t>
    </r>
    <r>
      <rPr>
        <b val="true"/>
        <sz val="11"/>
        <color rgb="FF1F4E79"/>
        <rFont val="Calibri"/>
        <family val="0"/>
        <charset val="1"/>
      </rPr>
      <t xml:space="preserve">🛍️ COMPRAS — </t>
    </r>
    <r>
      <rPr>
        <sz val="11"/>
        <rFont val="Calibri"/>
        <family val="0"/>
        <charset val="1"/>
      </rPr>
      <t xml:space="preserve">Opcional no fim da tarde: Lake Buena Vista Factory Stores (Carter's + OshKosh grande, Nike, Levi's, Crocs; menos lotado).
</t>
    </r>
    <r>
      <rPr>
        <b val="true"/>
        <sz val="11"/>
        <color rgb="FF0B5345"/>
        <rFont val="Calibri"/>
        <family val="0"/>
        <charset val="1"/>
      </rPr>
      <t xml:space="preserve">🛒 MERCADO — </t>
    </r>
    <r>
      <rPr>
        <sz val="11"/>
        <rFont val="Calibri"/>
        <family val="0"/>
        <charset val="1"/>
      </rPr>
      <t xml:space="preserve">Ou Walmart Lake Buena Vista ⭐.</t>
    </r>
  </si>
  <si>
    <r>
      <rPr>
        <b val="true"/>
        <sz val="11"/>
        <color rgb="FF7F6000"/>
        <rFont val="Calibri"/>
        <family val="0"/>
        <charset val="1"/>
      </rPr>
      <t xml:space="preserve">😴 DESCANSO/SONECA — </t>
    </r>
    <r>
      <rPr>
        <sz val="11"/>
        <rFont val="Calibri"/>
        <family val="0"/>
        <charset val="1"/>
      </rPr>
      <t xml:space="preserve">Livre.</t>
    </r>
  </si>
  <si>
    <t xml:space="preserve">Orlando Vineland Premium Outlets – 8200 Vineland Ave, Orlando, FL 32821 | Lake Buena Vista Factory Stores – 15657 State Rd 535, Orlando, FL 32821 | Walmart – 3250 Vineland Rd, Kissimmee, FL 34746</t>
  </si>
  <si>
    <t xml:space="preserve">Vineland: ~15–20 min | LBV Factory Stores: ~15–20 min</t>
  </si>
  <si>
    <t xml:space="preserve">Vagas para famílias com crianças pequenas na entrada da adidas e no Promenade. Aluguel de carrinho disponível.</t>
  </si>
  <si>
    <t xml:space="preserve">Domingo 11h–19h; seg–sáb: conferir no site. Sexta é bem melhor que sábado para a Character Warehouse.</t>
  </si>
  <si>
    <t xml:space="preserve">12/12</t>
  </si>
  <si>
    <t xml:space="preserve">💄 Beleza + 🎡 Passeio (Winter Garden) + 🛍️ Compras finais</t>
  </si>
  <si>
    <r>
      <rPr>
        <b val="true"/>
        <sz val="11"/>
        <color rgb="FF9C1F6B"/>
        <rFont val="Calibri"/>
        <family val="0"/>
        <charset val="1"/>
      </rPr>
      <t xml:space="preserve">💄 BELEZA — </t>
    </r>
    <r>
      <rPr>
        <sz val="11"/>
        <rFont val="Calibri"/>
        <family val="0"/>
        <charset val="1"/>
      </rPr>
      <t xml:space="preserve">9h (abertura): Beauty Master W Colonial ⭐ (7175 W Colonial Dr; 4,6★, 743 avaliações) — no caminho para Winter Garden.
</t>
    </r>
    <r>
      <rPr>
        <b val="true"/>
        <sz val="11"/>
        <color rgb="FF375623"/>
        <rFont val="Calibri"/>
        <family val="0"/>
        <charset val="1"/>
      </rPr>
      <t xml:space="preserve">🎡 PASSEIO — </t>
    </r>
    <r>
      <rPr>
        <sz val="11"/>
        <rFont val="Calibri"/>
        <family val="0"/>
        <charset val="1"/>
      </rPr>
      <t xml:space="preserve">~10h: Winter Garden — Farmers Market de sábado (8h–13h, perto da Lakeview Ave), passeio pela Plant Street e splash pad da cidade (água pode estar fria em dezembro). Almoço no Plant St. Market (vários restaurantes, pedido pelo celular).</t>
    </r>
  </si>
  <si>
    <r>
      <rPr>
        <b val="true"/>
        <sz val="11"/>
        <color rgb="FF7F6000"/>
        <rFont val="Calibri"/>
        <family val="0"/>
        <charset val="1"/>
      </rPr>
      <t xml:space="preserve">😴 DESCANSO/SONECA — </t>
    </r>
    <r>
      <rPr>
        <sz val="11"/>
        <rFont val="Calibri"/>
        <family val="0"/>
        <charset val="1"/>
      </rPr>
      <t xml:space="preserve">~13h30 volta ao hotel (~25–30 min) para a soneca.
</t>
    </r>
    <r>
      <rPr>
        <b val="true"/>
        <sz val="11"/>
        <color rgb="FF1F4E79"/>
        <rFont val="Calibri"/>
        <family val="0"/>
        <charset val="1"/>
      </rPr>
      <t xml:space="preserve">🛍️ COMPRAS — </t>
    </r>
    <r>
      <rPr>
        <sz val="11"/>
        <rFont val="Calibri"/>
        <family val="0"/>
        <charset val="1"/>
      </rPr>
      <t xml:space="preserve">Fim da tarde: compras finais perto do hotel — T.J. Maxx Grand National ⭐ e Burlington I-Drive (ao lado), bons para malas extras.
</t>
    </r>
    <r>
      <rPr>
        <b val="true"/>
        <sz val="11"/>
        <color rgb="FF0B5345"/>
        <rFont val="Calibri"/>
        <family val="0"/>
        <charset val="1"/>
      </rPr>
      <t xml:space="preserve">🛒 MERCADO — </t>
    </r>
    <r>
      <rPr>
        <sz val="11"/>
        <rFont val="Calibri"/>
        <family val="0"/>
        <charset val="1"/>
      </rPr>
      <t xml:space="preserve">Walmart Turkey Lake ⭐: lembrancinhas, chocolates, lanches da viagem de volta, balança de mala.</t>
    </r>
  </si>
  <si>
    <r>
      <rPr>
        <b val="true"/>
        <sz val="11"/>
        <color rgb="FF7F6000"/>
        <rFont val="Calibri"/>
        <family val="0"/>
        <charset val="1"/>
      </rPr>
      <t xml:space="preserve">😴 DESCANSO/SONECA — </t>
    </r>
    <r>
      <rPr>
        <sz val="11"/>
        <rFont val="Calibri"/>
        <family val="0"/>
        <charset val="1"/>
      </rPr>
      <t xml:space="preserve">Jantar de despedida perto do hotel; arrumar e pesar as malas; dormir cedo.</t>
    </r>
  </si>
  <si>
    <t xml:space="preserve">Beauty Master – 7175 W Colonial Dr, Orlando, FL 32818 | Winter Garden Farmers Market – 104 S Lakeview Ave, Winter Garden, FL 34787 | Plant St. Market – 426 W Plant St, Winter Garden, FL 34787 | T.J. Maxx – 6716 Grand National Dr | Burlington – 6870 Grand National Dr | Walmart – 8990 Turkey Lake Rd (Orlando, FL 32819)</t>
  </si>
  <si>
    <t xml:space="preserve">Beauty Master: ~20 min | Winter Garden: ~25–30 min (estimativa) | Grand National / Walmart: ~5–10 min</t>
  </si>
  <si>
    <t xml:space="preserve">Centro de Winter Garden é plano e bom para carrinho. Se a criança dormir no carro na ida, deixe o Beauty Master para a volta, em vez de acordá-la.</t>
  </si>
  <si>
    <t xml:space="preserve">Farmers Market: sábado 8h–13h (dado do Google; confirmar no site da cidade, wgfl.gov). Beauty Master é uma loja grande de beleza com seção de K-beauty (não só coreana); reviews são mistos sobre atendimento. Os barcos-cisne do Lake Eola saíram do roteiro. Winter Garden Village (Marshalls, Target etc.) fica como opção se sobrar pique.</t>
  </si>
  <si>
    <t xml:space="preserve">13/12</t>
  </si>
  <si>
    <r>
      <rPr>
        <b val="true"/>
        <sz val="11"/>
        <color rgb="FF404040"/>
        <rFont val="Calibri"/>
        <family val="0"/>
        <charset val="1"/>
      </rPr>
      <t xml:space="preserve">✈️ VIAGEM — </t>
    </r>
    <r>
      <rPr>
        <sz val="11"/>
        <rFont val="Calibri"/>
        <family val="0"/>
        <charset val="1"/>
      </rPr>
      <t xml:space="preserve">RECOMENDO sair às 9h–10h (e não ao meio-dia).</t>
    </r>
  </si>
  <si>
    <r>
      <rPr>
        <b val="true"/>
        <sz val="11"/>
        <color rgb="FF404040"/>
        <rFont val="Calibri"/>
        <family val="0"/>
        <charset val="1"/>
      </rPr>
      <t xml:space="preserve">✈️ VIAGEM — </t>
    </r>
    <r>
      <rPr>
        <sz val="11"/>
        <rFont val="Calibri"/>
        <family val="0"/>
        <charset val="1"/>
      </rPr>
      <t xml:space="preserve">Viagem Orlando → Miami (Turnpike). Devolução do carro no Rental Car Center do MIA + MIA Mover até o terminal.</t>
    </r>
  </si>
  <si>
    <r>
      <rPr>
        <b val="true"/>
        <sz val="11"/>
        <color rgb="FF404040"/>
        <rFont val="Calibri"/>
        <family val="0"/>
        <charset val="1"/>
      </rPr>
      <t xml:space="preserve">✈️ VIAGEM — </t>
    </r>
    <r>
      <rPr>
        <sz val="11"/>
        <rFont val="Calibri"/>
        <family val="0"/>
        <charset val="1"/>
      </rPr>
      <t xml:space="preserve">Voo às 19:50.</t>
    </r>
  </si>
  <si>
    <t xml:space="preserve">Miami International Airport (MIA)</t>
  </si>
  <si>
    <t xml:space="preserve">Hotel → MIA: ~4h30 sem trânsito (~377 km), mais as paradas</t>
  </si>
  <si>
    <t xml:space="preserve">Criança dorme no carro; almoço numa área de serviço da Turnpike.</t>
  </si>
  <si>
    <t xml:space="preserve">Saindo ao meio-dia, a chegada ao MIA fica por volta de 16h30–17h30 SEM paradas, e para voo internacional o ideal é chegar 3h antes (~16h50). Ou seja: já fica apertado. Sawgrass Mills (43 min do MIA) ou Dolphin Mall (18 min do MIA) NÃO cabem saindo às 12h. Só cabem saindo de Orlando por volta de 6h30–7h (os dois abrem às 11h no domingo), com compras até ~14h30.</t>
  </si>
  <si>
    <t xml:space="preserve">14/12</t>
  </si>
  <si>
    <r>
      <rPr>
        <b val="true"/>
        <sz val="11"/>
        <color rgb="FF404040"/>
        <rFont val="Calibri"/>
        <family val="0"/>
        <charset val="1"/>
      </rPr>
      <t xml:space="preserve">✈️ VIAGEM — </t>
    </r>
    <r>
      <rPr>
        <sz val="11"/>
        <rFont val="Calibri"/>
        <family val="0"/>
        <charset val="1"/>
      </rPr>
      <t xml:space="preserve">Chegada no Rio às 06:15.</t>
    </r>
  </si>
  <si>
    <t xml:space="preserve">GIG</t>
  </si>
  <si>
    <t xml:space="preserve">* Tempos de carro a partir do centro do CEP 32819 (I-Drive / Sand Lake Rd), em rota sem trânsito, arredondados para cima. Os tempos de 04/12 e 05/12 (Ross/Walmart Turkey Lake, ICON Park, Florida Mall) são ESTIMATIVAS por distância — não consegui rodar o roteador. Em horário de pico ou em dezembro, acrescente 30–50%.</t>
  </si>
  <si>
    <t xml:space="preserve">LEGENDA (cor da célula = atividade principal do período; a etiqueta mostra cada atividade)</t>
  </si>
  <si>
    <t xml:space="preserve">🎢 PARQUE</t>
  </si>
  <si>
    <t xml:space="preserve">Parques Disney / Epic / festa</t>
  </si>
  <si>
    <t xml:space="preserve">🎡 PASSEIO</t>
  </si>
  <si>
    <t xml:space="preserve">Passeios e atrações (ICON Park, Play Park, Disney Springs, neve, jardins)</t>
  </si>
  <si>
    <t xml:space="preserve">🛍️ COMPRAS</t>
  </si>
  <si>
    <t xml:space="preserve">Lojas, outlets, shoppings, off-price</t>
  </si>
  <si>
    <t xml:space="preserve">🛒 MERCADO</t>
  </si>
  <si>
    <t xml:space="preserve">Supermercado / Walmart / Target (itens do dia a dia e lembrancinhas)</t>
  </si>
  <si>
    <t xml:space="preserve">💄 BELEZA</t>
  </si>
  <si>
    <t xml:space="preserve">Cosméticos (Ulta, Beauty Master)</t>
  </si>
  <si>
    <t xml:space="preserve">🥞 REFEIÇÃO ESPECIAL</t>
  </si>
  <si>
    <t xml:space="preserve">Refeição especial (café com personagens)</t>
  </si>
  <si>
    <t xml:space="preserve">😴 DESCANSO/SONECA</t>
  </si>
  <si>
    <t xml:space="preserve">Descanso, soneca, jantar, tempo livre</t>
  </si>
  <si>
    <t xml:space="preserve">✈️ VIAGEM</t>
  </si>
  <si>
    <t xml:space="preserve">Voo, estrada, aeroporto</t>
  </si>
  <si>
    <t xml:space="preserve">Lugar</t>
  </si>
  <si>
    <t xml:space="preserve">O que é</t>
  </si>
  <si>
    <t xml:space="preserve">Para uma criança de 2 anos</t>
  </si>
  <si>
    <t xml:space="preserve">Endereço</t>
  </si>
  <si>
    <t xml:space="preserve">Carro do hotel (32819)</t>
  </si>
  <si>
    <t xml:space="preserve">Preço adulto</t>
  </si>
  <si>
    <t xml:space="preserve">Preço criança (2 anos / menores de 3)</t>
  </si>
  <si>
    <t xml:space="preserve">Horário</t>
  </si>
  <si>
    <t xml:space="preserve">Destaques de dezembro/2026</t>
  </si>
  <si>
    <t xml:space="preserve">Link oficial</t>
  </si>
  <si>
    <t xml:space="preserve">Recomendação</t>
  </si>
  <si>
    <t xml:space="preserve">Onde encaixei</t>
  </si>
  <si>
    <t xml:space="preserve">Disney Springs + Christmas Tree Stroll</t>
  </si>
  <si>
    <t xml:space="preserve">Área de compras, restaurantes e entretenimento da Disney, com entrada gratuita.</t>
  </si>
  <si>
    <t xml:space="preserve">Ótimo: dá para passear com carrinho, ver árvores temáticas, a neve noturna e o Papai Noel. Passeio flexível, sem ingresso.</t>
  </si>
  <si>
    <t xml:space="preserve">Lake Buena Vista, FL 32830</t>
  </si>
  <si>
    <t xml:space="preserve">Grátis (estacionamento grátis)</t>
  </si>
  <si>
    <t xml:space="preserve">Grátis</t>
  </si>
  <si>
    <t xml:space="preserve">Lojas ~10h–23h; World of Disney 10h–23h30</t>
  </si>
  <si>
    <t xml:space="preserve">Christmas Tree Stroll de 13/11/2026 a 06/01/2027 (mapa e adesivos grátis, troca por botton); neve noturna no Town Center; Papai Noel até 24/12 (horários no app My Disney Experience).</t>
  </si>
  <si>
    <t xml:space="preserve">https://www.disneysprings.com/entertainment/christmas-tree-stroll/</t>
  </si>
  <si>
    <t xml:space="preserve">Sim</t>
  </si>
  <si>
    <t xml:space="preserve">29/11 (tarde: ingressos + compras leves) e 10/12 (fim da tarde/noite)</t>
  </si>
  <si>
    <t xml:space="preserve">Hotéis Disney com gingerbread (resort hopping)</t>
  </si>
  <si>
    <t xml:space="preserve">Hotéis da Disney com displays de gingerbread e decoração de Natal.</t>
  </si>
  <si>
    <t xml:space="preserve">Bom para ver e fotografar, em passeio curto. Combina muito bem com um café da manhã com personagens.</t>
  </si>
  <si>
    <t xml:space="preserve">Contemporary: 4600 N World Dr | Beach Club: 1800 Epcot Resorts Blvd (Lake Buena Vista, FL 32830)</t>
  </si>
  <si>
    <t xml:space="preserve">Grátis para ver</t>
  </si>
  <si>
    <t xml:space="preserve">Contemporary: castelo de gingerbread (Cinderella Castle 'Dream Lights'); Beach Club: carrossel de gingerbread que gira; também BoardWalk, Animal Kingdom Lodge e Wilderness Lodge (base 2025; a Disney indicou que voltam em 2026, mas os detalhes ainda não saíram). A casa gigante do Grand Floridian foi APOSENTADA (lá haverá só miniaturas).</t>
  </si>
  <si>
    <t xml:space="preserve">https://disneyworld.disney.go.com/</t>
  </si>
  <si>
    <t xml:space="preserve">Sim (com reserva de restaurante)</t>
  </si>
  <si>
    <t xml:space="preserve">10/12 (manhã). Regra de 2026: para estacionar no hotel é preciso estar hospedado ou ter reserva de restaurante/experiência; ônibus saindo de Disney Springs também exigem reserva.</t>
  </si>
  <si>
    <t xml:space="preserve">Chef Mickey's (Contemporary)</t>
  </si>
  <si>
    <t xml:space="preserve">Buffet com personagens (Mickey e turma).</t>
  </si>
  <si>
    <t xml:space="preserve">Excelente para essa idade: os personagens vêm até a mesa, sem fila.</t>
  </si>
  <si>
    <t xml:space="preserve">Disney's Contemporary Resort, 4600 N World Dr, Lake Buena Vista, FL 32830</t>
  </si>
  <si>
    <t xml:space="preserve">US$59 (café da manhã, + taxa e gorjeta)</t>
  </si>
  <si>
    <t xml:space="preserve">3–9 anos US$38; menores de 3 não pagam</t>
  </si>
  <si>
    <t xml:space="preserve">Café da manhã 7h30–12h30</t>
  </si>
  <si>
    <t xml:space="preserve">Fica no hotel do castelo de gingerbread; do monotrilho você vê os outros hotéis.</t>
  </si>
  <si>
    <t xml:space="preserve">https://disneyworld.disney.go.com/dining/contemporary-resort/chef-mickeys/</t>
  </si>
  <si>
    <t xml:space="preserve">10/12. Reservas abrem 60 dias antes = 11/10/2026. Ver aba "Chef Mickey's (custos)".</t>
  </si>
  <si>
    <t xml:space="preserve">Cape May Cafe – Minnie's Beach Bash (Beach Club)</t>
  </si>
  <si>
    <t xml:space="preserve">Café da manhã com personagens.</t>
  </si>
  <si>
    <t xml:space="preserve">Muito bom; um pouco mais barato que o Chef Mickey's.</t>
  </si>
  <si>
    <t xml:space="preserve">Disney's Beach Club Resort, 1800 Epcot Resorts Blvd, Lake Buena Vista, FL 32830</t>
  </si>
  <si>
    <t xml:space="preserve">US$49 (+ taxa e gorjeta)</t>
  </si>
  <si>
    <t xml:space="preserve">3–9 anos US$33; menores de 3 não pagam</t>
  </si>
  <si>
    <t xml:space="preserve">Café da manhã 7h30–11h30</t>
  </si>
  <si>
    <t xml:space="preserve">Carrossel de gingerbread no mesmo hotel.</t>
  </si>
  <si>
    <t xml:space="preserve">https://disneyworld.disney.go.com/dining/beach-club-resort/cape-may-cafe/</t>
  </si>
  <si>
    <t xml:space="preserve">Alternativa para 10/12</t>
  </si>
  <si>
    <t xml:space="preserve">Crayola Experience Orlando</t>
  </si>
  <si>
    <t xml:space="preserve">Atração coberta de atividades de cor e arte (70 mil pés²), dentro do Florida Mall.</t>
  </si>
  <si>
    <t xml:space="preserve">Bom: parte das atividades é para crianças maiores, mas colorir, massinha e brincar funcionam bem com 2 anos. Coberto, com ar-condicionado. Para essa idade, 1h30–2h bastam.</t>
  </si>
  <si>
    <t xml:space="preserve">The Florida Mall, 8001 S Orange Blossom Trl, Orlando, FL 32809</t>
  </si>
  <si>
    <t xml:space="preserve">~10–15 min</t>
  </si>
  <si>
    <t xml:space="preserve">US$30,99 + taxa (US$3 de desconto online)</t>
  </si>
  <si>
    <t xml:space="preserve">Até 2 anos: grátis</t>
  </si>
  <si>
    <t xml:space="preserve">Dom–sex 10h–18h; sáb 10h–20h (aberto todos os dias do ano)</t>
  </si>
  <si>
    <t xml:space="preserve">Programação de fim de ano (a confirmar no calendário do site).</t>
  </si>
  <si>
    <t xml:space="preserve">https://www.crayolaexperience.com/orlando</t>
  </si>
  <si>
    <t xml:space="preserve">05/12 (opcional, no lugar do Play Park)</t>
  </si>
  <si>
    <t xml:space="preserve">Play Park do Florida Mall</t>
  </si>
  <si>
    <t xml:space="preserve">Parquinho coberto (~3.000 pés²), ao lado da Crayola.</t>
  </si>
  <si>
    <t xml:space="preserve">Ótimo para gastar energia entre as compras. Grátis.</t>
  </si>
  <si>
    <t xml:space="preserve">Horário do shopping</t>
  </si>
  <si>
    <t xml:space="preserve">https://www.simon.com/mall/the-florida-mall/about</t>
  </si>
  <si>
    <t xml:space="preserve">05/12 (manhã)</t>
  </si>
  <si>
    <t xml:space="preserve">SEA LIFE Orlando Aquarium</t>
  </si>
  <si>
    <t xml:space="preserve">Aquário coberto no ICON Park (I-Drive).</t>
  </si>
  <si>
    <t xml:space="preserve">Bom: tanques baixos, túnel, coberto. Leva de 1 a 2h. Muito perto do hotel.</t>
  </si>
  <si>
    <t xml:space="preserve">8449 International Dr, Orlando, FL 32819 (garagem do ICON Park grátis, andares 4–7)</t>
  </si>
  <si>
    <t xml:space="preserve">~5 min</t>
  </si>
  <si>
    <t xml:space="preserve">a confirmar (ingresso com data e horário; mais barato online)</t>
  </si>
  <si>
    <t xml:space="preserve">Menores de 2: grátis. Com 2 anos paga a tarifa infantil (2–12), a partir de US$24 online</t>
  </si>
  <si>
    <t xml:space="preserve">Dom–qui 11h–19h; sex–sáb 11h–20h</t>
  </si>
  <si>
    <t xml:space="preserve">https://www.visitsealife.com/orlando/</t>
  </si>
  <si>
    <t xml:space="preserve">Retirado do roteiro (29/11 agora é Disney Springs)</t>
  </si>
  <si>
    <t xml:space="preserve">Gatorland</t>
  </si>
  <si>
    <t xml:space="preserve">Parque de jacarés e animais da Flórida, pequeno e tradicional.</t>
  </si>
  <si>
    <t xml:space="preserve">Bom: ver jacarés, aves e animais encanta; parque pequeno, sem filas. Shows podem ser barulhentos.</t>
  </si>
  <si>
    <t xml:space="preserve">14501 S Orange Blossom Trl, Orlando, FL 32837</t>
  </si>
  <si>
    <t xml:space="preserve">US$34,99 (US$3 a menos online)</t>
  </si>
  <si>
    <t xml:space="preserve">Até 2 anos: grátis (3–12: US$24,99)</t>
  </si>
  <si>
    <t xml:space="preserve">Todos os dias, 10h–17h, inclusive feriados</t>
  </si>
  <si>
    <t xml:space="preserve">https://www.gatorland.com/plan-your-visit/hours-and-prices/</t>
  </si>
  <si>
    <t xml:space="preserve">Retirado do roteiro (05/12 agora é Florida Mall)</t>
  </si>
  <si>
    <t xml:space="preserve">Now Snowing – Celebration Town Center</t>
  </si>
  <si>
    <t xml:space="preserve">Neve artificial grátis no centrinho de Celebration, com clima de Natal.</t>
  </si>
  <si>
    <t xml:space="preserve">Ótimo e curto: a primeira 'neve' às 18h encaixa na rotina da criança.</t>
  </si>
  <si>
    <t xml:space="preserve">Market St, Celebration Town Center, Celebration, FL 34747</t>
  </si>
  <si>
    <t xml:space="preserve">Toda noite de 28/11 a 31/12/2026, 17h30–21h30; neve às 18h, 19h, 20h e 21h</t>
  </si>
  <si>
    <t xml:space="preserve">Evento de Natal de 2026 confirmado.</t>
  </si>
  <si>
    <t xml:space="preserve">https://visitcelebration.org/series/now-snowing-nightly-2026/</t>
  </si>
  <si>
    <t xml:space="preserve">05/12 (noite, opcional)</t>
  </si>
  <si>
    <t xml:space="preserve">Gaylord Palms – ice! featuring The Polar Express</t>
  </si>
  <si>
    <t xml:space="preserve">Exposição de esculturas de gelo a -13°C (9°F), com escorregas de gelo; o resort inteiro fica decorado.</t>
  </si>
  <si>
    <t xml:space="preserve">Com ressalva: frio intenso (eles dão parka) por 20–40 min; uma criança de 2 anos pode estranhar. A decoração do átrio do resort é um bônus.</t>
  </si>
  <si>
    <t xml:space="preserve">6000 W Osceola Pkwy, Kissimmee, FL 34746</t>
  </si>
  <si>
    <t xml:space="preserve">US$33–44 conforme a data (só online, com horário marcado; estacionamento pago à parte)</t>
  </si>
  <si>
    <t xml:space="preserve">Menores de 3: grátis</t>
  </si>
  <si>
    <t xml:space="preserve">Horário marcado (sem tolerância de atraso)</t>
  </si>
  <si>
    <t xml:space="preserve">De 13/11/2026 a 03/01/2027; também Santa, gingerbread decorating e outros (pagos).</t>
  </si>
  <si>
    <t xml:space="preserve">https://www.christmasatgaylordpalms.com/ice</t>
  </si>
  <si>
    <t xml:space="preserve">Talvez</t>
  </si>
  <si>
    <t xml:space="preserve">Alternativa para 05/12 à noite (no lugar de Celebration)</t>
  </si>
  <si>
    <t xml:space="preserve">Harry P. Leu Gardens</t>
  </si>
  <si>
    <t xml:space="preserve">Jardim botânico no norte de Orlando.</t>
  </si>
  <si>
    <t xml:space="preserve">Bom para caminhar com carrinho ao ar livre; programa calmo.</t>
  </si>
  <si>
    <t xml:space="preserve">1920 N Forest Ave, Orlando, FL 32803</t>
  </si>
  <si>
    <t xml:space="preserve">~25 min</t>
  </si>
  <si>
    <t xml:space="preserve">US$15</t>
  </si>
  <si>
    <t xml:space="preserve">Menores de 4: grátis</t>
  </si>
  <si>
    <t xml:space="preserve">De 19/11/2026 a 03/01/2027: 9h–16h (última entrada 15h)</t>
  </si>
  <si>
    <t xml:space="preserve">07/12/2026 = dia de entrada GRATUITA (diurno). Dazzling Nights (luzes de Natal, ingresso à parte): de 20/11/2026 a 03/01/2027, entradas a partir das 17h30; adulto a partir de US$35; até 3 anos grátis.</t>
  </si>
  <si>
    <t xml:space="preserve">https://www.leugardens.org/Visit/Admission-Hours</t>
  </si>
  <si>
    <t xml:space="preserve">07/12 (opcional, fim da manhã)</t>
  </si>
  <si>
    <t xml:space="preserve">Lake Eola Park – barcos-cisne</t>
  </si>
  <si>
    <t xml:space="preserve">Parque no centro de Orlando, com pedalinhos em forma de cisne.</t>
  </si>
  <si>
    <t xml:space="preserve">Passeio curto e divertido (criança no colo). Parquinho e cisnes de verdade no lago.</t>
  </si>
  <si>
    <t xml:space="preserve">E Central Blvd x N Eola Dr, Orlando, FL 32801</t>
  </si>
  <si>
    <t xml:space="preserve">Barco: US$15 por 30 min</t>
  </si>
  <si>
    <t xml:space="preserve">Barcos: ter–dom 10h–19h (FECHADO às segundas), por ordem de chegada</t>
  </si>
  <si>
    <t xml:space="preserve">Farmers Market todo domingo, 10h–15h.</t>
  </si>
  <si>
    <t xml:space="preserve">https://www.orlando.gov/Parks-the-Environment/Directory/Lake-Eola-Park/Rent-a-Swan-Boat-at-Lake-Eola</t>
  </si>
  <si>
    <t xml:space="preserve">Retirado do roteiro (12/12 agora é Winter Garden)</t>
  </si>
  <si>
    <t xml:space="preserve">Orlando Science Center – KidsTown</t>
  </si>
  <si>
    <t xml:space="preserve">Museu de ciências; o KidsTown é uma área para crianças de até 7 anos.</t>
  </si>
  <si>
    <t xml:space="preserve">Bom como plano B para dia de chuva.</t>
  </si>
  <si>
    <t xml:space="preserve">777 E Princeton St, Orlando, FL 32803</t>
  </si>
  <si>
    <t xml:space="preserve">a confirmar</t>
  </si>
  <si>
    <t xml:space="preserve">O site cita US$22 online / US$25 na bilheteria e 'até 2 anos grátis' (confirmar se quem tem 2 anos paga)</t>
  </si>
  <si>
    <t xml:space="preserve">10h–17h; fechado às quartas (exceto nas férias escolares); fechado na Ação de Graças e no Natal</t>
  </si>
  <si>
    <t xml:space="preserve">https://www.osc.org/visit/</t>
  </si>
  <si>
    <t xml:space="preserve">Plano B para chuva (04/12 ou 05/12)</t>
  </si>
  <si>
    <t xml:space="preserve">Winter Park Scenic Boat Tour</t>
  </si>
  <si>
    <t xml:space="preserve">Passeio de barco pelos lagos e canais de Winter Park.</t>
  </si>
  <si>
    <t xml:space="preserve">Com ressalva: muito tempo sentado no barco é difícil para uma criança de 2 anos.</t>
  </si>
  <si>
    <t xml:space="preserve">312 E Morse Blvd, Winter Park, FL 32789</t>
  </si>
  <si>
    <t xml:space="preserve">~30–35 min</t>
  </si>
  <si>
    <t xml:space="preserve">US$20</t>
  </si>
  <si>
    <t xml:space="preserve">Menores de 2: grátis; 2–11 anos: US$10</t>
  </si>
  <si>
    <t xml:space="preserve">Todos os dias, 10h–16h, saídas de hora em hora (fechado no Natal)</t>
  </si>
  <si>
    <t xml:space="preserve">https://scenicboattours.com/</t>
  </si>
  <si>
    <t xml:space="preserve">Não encaixado</t>
  </si>
  <si>
    <t xml:space="preserve">Peppa Pig Theme Park Florida</t>
  </si>
  <si>
    <t xml:space="preserve">Parque temático feito para crianças pequenas (6 brinquedos, 6 playgrounds, shows, splash pad), ao lado do LEGOLAND.</t>
  </si>
  <si>
    <t xml:space="preserve">Excelente para a idade, mas é mais um dia de parque e fica a ~1h.</t>
  </si>
  <si>
    <t xml:space="preserve">Winter Haven, FL (ao lado do LEGOLAND Florida)</t>
  </si>
  <si>
    <t xml:space="preserve">~1h–1h15</t>
  </si>
  <si>
    <t xml:space="preserve">A partir de US$32 online (US$64 na bilheteria)</t>
  </si>
  <si>
    <t xml:space="preserve">A partir de 2 anos paga ingresso (menores de 2 grátis)</t>
  </si>
  <si>
    <t xml:space="preserve">Dezembro/2026: ~10h–16h nos dias úteis e ~10h–17h nos fins de semana; fechado em 01/12 e 08/12 (fonte não oficial — a confirmar)</t>
  </si>
  <si>
    <t xml:space="preserve">Splash pad exige fralda de piscina.</t>
  </si>
  <si>
    <t xml:space="preserve">https://www.peppapigthemepark.com/florida/</t>
  </si>
  <si>
    <t xml:space="preserve">Alternativa para 05/12 ou 11/12</t>
  </si>
  <si>
    <t xml:space="preserve">Kennedy Space Center Visitor Complex</t>
  </si>
  <si>
    <t xml:space="preserve">Centro espacial da NASA.</t>
  </si>
  <si>
    <t xml:space="preserve">Não é para essa idade: o conteúdo é para crianças maiores e ocupa o dia inteiro.</t>
  </si>
  <si>
    <t xml:space="preserve">Space Commerce Way, Merritt Island, FL 32953</t>
  </si>
  <si>
    <t xml:space="preserve">~1h15–1h30</t>
  </si>
  <si>
    <t xml:space="preserve">US$77</t>
  </si>
  <si>
    <t xml:space="preserve">Até 2 anos: grátis (3–11: US$67)</t>
  </si>
  <si>
    <t xml:space="preserve">9h–17h; fechado em 26/11 e 25/12</t>
  </si>
  <si>
    <t xml:space="preserve">https://www.kennedyspacecenter.com/</t>
  </si>
  <si>
    <t xml:space="preserve">Não</t>
  </si>
  <si>
    <t xml:space="preserve">Cocoa Beach (Pier)</t>
  </si>
  <si>
    <t xml:space="preserve">Praia mais próxima de Orlando.</t>
  </si>
  <si>
    <t xml:space="preserve">Brincar na areia é ótimo, mas em dezembro a água é fria para banho e são ~3h de estrada ida e volta.</t>
  </si>
  <si>
    <t xml:space="preserve">401 Meade Ave, Cocoa Beach, FL 32931</t>
  </si>
  <si>
    <t xml:space="preserve">Grátis (estacionamento a confirmar)</t>
  </si>
  <si>
    <t xml:space="preserve">Só se sobrar um dia de sol</t>
  </si>
  <si>
    <t xml:space="preserve">ICON Park / The Wheel</t>
  </si>
  <si>
    <t xml:space="preserve">Complexo de atrações na I-Drive (roda-gigante, restaurantes, SEA LIFE).</t>
  </si>
  <si>
    <t xml:space="preserve">Roda-gigante (cabine fechada, ~20 min), carrossel, trenzinho e playground: curto e perto do hotel. Ver Dica: confirmar preço/regra para 2 anos.</t>
  </si>
  <si>
    <t xml:space="preserve">8375 International Dr, Orlando, FL 32819</t>
  </si>
  <si>
    <t xml:space="preserve">The Wheel a partir de US$29,99 (referência; confirmar)</t>
  </si>
  <si>
    <t xml:space="preserve">https://iconparkorlando.com/</t>
  </si>
  <si>
    <t xml:space="preserve">04/12 (fim da tarde, pôr do sol)</t>
  </si>
  <si>
    <t xml:space="preserve">Old Town Kissimmee</t>
  </si>
  <si>
    <t xml:space="preserve">Rua de lojinhas e brinquedos com shows de carros antigos.</t>
  </si>
  <si>
    <t xml:space="preserve">Mais interessante para adultos; ao lado do Fun Spot.</t>
  </si>
  <si>
    <t xml:space="preserve">5770 W Irlo Bronson Memorial Hwy, Kissimmee, FL 34746</t>
  </si>
  <si>
    <t xml:space="preserve">Entrada e estacionamento grátis</t>
  </si>
  <si>
    <t xml:space="preserve">Dom–qui 11h–21h; sex–sáb 11h–23h; car shows sex e sáb à noite</t>
  </si>
  <si>
    <t xml:space="preserve">https://www.myoldtownusa.com/</t>
  </si>
  <si>
    <t xml:space="preserve">Splash pads / parques aquáticos</t>
  </si>
  <si>
    <t xml:space="preserve">Áreas com jatos de água.</t>
  </si>
  <si>
    <t xml:space="preserve">Em dezembro faz ~20°C e a água fica fria; não vale.</t>
  </si>
  <si>
    <t xml:space="preserve">Prefira o Play Park do Florida Mall</t>
  </si>
  <si>
    <t xml:space="preserve">Winter Garden (Farmers Market + Plant Street + splash pad)</t>
  </si>
  <si>
    <t xml:space="preserve">Centro histórico charmoso, com feira de sábado, mercado de comidas e fonte interativa.</t>
  </si>
  <si>
    <t xml:space="preserve">Bom: plano, bom para carrinho, splash pad e espaço para andar; feira com gente e música. Em dezembro a água do splash pad pode estar fria.</t>
  </si>
  <si>
    <t xml:space="preserve">104 S Lakeview Ave, Winter Garden, FL 34787</t>
  </si>
  <si>
    <t xml:space="preserve">~25–30 min (estimativa)</t>
  </si>
  <si>
    <t xml:space="preserve">Grátis (comida à parte)</t>
  </si>
  <si>
    <t xml:space="preserve">Farmers Market: sáb 8h–13h | Plant St. Market: 11h–23h | Splash pad: 9h–21h</t>
  </si>
  <si>
    <t xml:space="preserve">https://wgfl.gov/369/Winter-Garden-Farmers-Market</t>
  </si>
  <si>
    <t xml:space="preserve">12/12 (manhã)</t>
  </si>
  <si>
    <t xml:space="preserve">Categoria</t>
  </si>
  <si>
    <t xml:space="preserve">Nome / Local</t>
  </si>
  <si>
    <t xml:space="preserve">Região / cluster</t>
  </si>
  <si>
    <t xml:space="preserve">Por que vale</t>
  </si>
  <si>
    <t xml:space="preserve">Situação</t>
  </si>
  <si>
    <t xml:space="preserve">Link</t>
  </si>
  <si>
    <t xml:space="preserve">Shopping</t>
  </si>
  <si>
    <t xml:space="preserve">The Florida Mall</t>
  </si>
  <si>
    <t xml:space="preserve">8001 S Orange Blossom Trl, Orlando, FL 32809</t>
  </si>
  <si>
    <t xml:space="preserve">Florida Mall</t>
  </si>
  <si>
    <t xml:space="preserve">~10–15 min (~8 km)</t>
  </si>
  <si>
    <t xml:space="preserve">Seg–qui 10h–20h; sex–sáb 10h–21h; dom 11h–19h</t>
  </si>
  <si>
    <t xml:space="preserve">O maior shopping da Flórida Central (250+ lojas): Primark (o único da região), Macy's, Dillard's, JCPenney, Uniqlo, Zara, Levi's, Crocs, American Girl, Build-A-Bear, Crayola Store. Tem Play Park, aluguel de carrinho e fraldário. Fica no mesmo corredor de Burlington ⭐ e Best Buy ⭐.</t>
  </si>
  <si>
    <t xml:space="preserve">Aberto</t>
  </si>
  <si>
    <t xml:space="preserve">https://www.simon.com/mall/the-florida-mall</t>
  </si>
  <si>
    <t xml:space="preserve">The Mall at Millenia</t>
  </si>
  <si>
    <t xml:space="preserve">4200 Conroy Rd, Orlando, FL 32839</t>
  </si>
  <si>
    <t xml:space="preserve">Millenia</t>
  </si>
  <si>
    <t xml:space="preserve">Seg–sex 11h–21h; sáb 10h–21h; dom 11h–19h</t>
  </si>
  <si>
    <t xml:space="preserve">Shopping de alto padrão (~150 lojas): Bloomingdale's, Neiman Marcus, Macy's, Apple. Do lado de Target ⭐ e Best Buy ⭐ (Millenia Plaza).</t>
  </si>
  <si>
    <t xml:space="preserve">https://www.mallatmillenia.com/</t>
  </si>
  <si>
    <t xml:space="preserve">Loja Disney</t>
  </si>
  <si>
    <t xml:space="preserve">World of Disney (Disney Springs)</t>
  </si>
  <si>
    <t xml:space="preserve">Disney Springs, Lake Buena Vista, FL 32830</t>
  </si>
  <si>
    <t xml:space="preserve">Disney Springs</t>
  </si>
  <si>
    <t xml:space="preserve">~20–25 min (~15 km)</t>
  </si>
  <si>
    <t xml:space="preserve">10h–23h30</t>
  </si>
  <si>
    <t xml:space="preserve">A maior loja Disney da região, com preço cheio (não é outlet), mas com tudo o que existe. Estacionamento grátis. Ver junto com a Christmas Tree Stroll.</t>
  </si>
  <si>
    <t xml:space="preserve">29/11 e 10/12</t>
  </si>
  <si>
    <t xml:space="preserve">https://www.disneysprings.com/shopping/world-of-disney/</t>
  </si>
  <si>
    <t xml:space="preserve">Variedades</t>
  </si>
  <si>
    <t xml:space="preserve">Five Below – I-Drive</t>
  </si>
  <si>
    <t xml:space="preserve">5295 International Dr, Ste 660, Orlando, FL 32819</t>
  </si>
  <si>
    <t xml:space="preserve">I-Drive (mesmo centro do Ross 5295 e da Ulta)</t>
  </si>
  <si>
    <t xml:space="preserve">Brinquedos, lanches, utilidades e lembrancinhas baratas (a maior parte até US$5). Bom para entreter a criança no carro e no avião.</t>
  </si>
  <si>
    <t xml:space="preserve">Aberto (a confirmar horário)</t>
  </si>
  <si>
    <t xml:space="preserve">https://locations.fivebelow.com/fl/orlando/5295-international-drive</t>
  </si>
  <si>
    <t xml:space="preserve">Loja de atração</t>
  </si>
  <si>
    <t xml:space="preserve">Crayola Store (Florida Mall)</t>
  </si>
  <si>
    <t xml:space="preserve">A maior seleção de produtos Crayola; não exige ingresso da atração.</t>
  </si>
  <si>
    <t xml:space="preserve">https://www.crayolaexperience.com/orlando/plan-your-visit/faqs</t>
  </si>
  <si>
    <t xml:space="preserve">Outlet (Miami)</t>
  </si>
  <si>
    <t xml:space="preserve">Sawgrass Mills</t>
  </si>
  <si>
    <t xml:space="preserve">12801 W Sunrise Blvd, Sunrise, FL 33323</t>
  </si>
  <si>
    <t xml:space="preserve">Sul da Flórida (a ~43 min do MIA)</t>
  </si>
  <si>
    <t xml:space="preserve">~4h do hotel</t>
  </si>
  <si>
    <t xml:space="preserve">Dom 11h–20h; seg–sáb: a confirmar</t>
  </si>
  <si>
    <t xml:space="preserve">Mega-centro de outlets com centenas de lojas. Só vale se encaixar no trajeto.</t>
  </si>
  <si>
    <t xml:space="preserve">Não cabe em 13/12 saindo às 12h; só se sair de Orlando ~6h30–7h</t>
  </si>
  <si>
    <t xml:space="preserve">https://www.simon.com/mall/sawgrass-mills</t>
  </si>
  <si>
    <t xml:space="preserve">Outlet/shopping (Miami)</t>
  </si>
  <si>
    <t xml:space="preserve">Dolphin Mall</t>
  </si>
  <si>
    <t xml:space="preserve">11401 NW 12th St, Miami, FL 33172</t>
  </si>
  <si>
    <t xml:space="preserve">Miami (a ~18 min do MIA)</t>
  </si>
  <si>
    <t xml:space="preserve">~4h20 do hotel</t>
  </si>
  <si>
    <t xml:space="preserve">Seg–sáb 10h–21h; dom 11h–20h (feriados: a confirmar)</t>
  </si>
  <si>
    <t xml:space="preserve">Outlets + varejo, muito perto do aeroporto: é a opção mais realista para uma parada em 13/12 — mas só saindo cedo de Orlando.</t>
  </si>
  <si>
    <t xml:space="preserve">Opcional em 13/12, saindo de Orlando ~6h30–7h</t>
  </si>
  <si>
    <t xml:space="preserve">https://www.simon.com/mall/dolphin-mall</t>
  </si>
  <si>
    <t xml:space="preserve">Centrinho</t>
  </si>
  <si>
    <t xml:space="preserve">Celebration Town Center</t>
  </si>
  <si>
    <t xml:space="preserve">Market St, Celebration, FL 34747</t>
  </si>
  <si>
    <t xml:space="preserve">Celebration</t>
  </si>
  <si>
    <t xml:space="preserve">Lojas: a confirmar</t>
  </si>
  <si>
    <t xml:space="preserve">Lojinhas e restaurantes num centrinho charmoso; combina com a neve das 18h.</t>
  </si>
  <si>
    <t xml:space="preserve">05/12 (noite)</t>
  </si>
  <si>
    <t xml:space="preserve">https://visitcelebration.org/</t>
  </si>
  <si>
    <t xml:space="preserve">Rua de lojas</t>
  </si>
  <si>
    <t xml:space="preserve">Kissimmee (US-192)</t>
  </si>
  <si>
    <t xml:space="preserve">Dom–qui 11h–21h; sex–sáb 11h–23h</t>
  </si>
  <si>
    <t xml:space="preserve">Lojinhas de souvenir, brinquedos e shows de carros antigos. Opcional.</t>
  </si>
  <si>
    <t xml:space="preserve">Beleza</t>
  </si>
  <si>
    <t xml:space="preserve">Beauty Master – W Colonial ⭐ (4,6★, 743 aval.)</t>
  </si>
  <si>
    <t xml:space="preserve">7175 W Colonial Dr, Orlando, FL 32818</t>
  </si>
  <si>
    <t xml:space="preserve">Colonial oeste (a caminho de Winter Garden)</t>
  </si>
  <si>
    <t xml:space="preserve">~20 min (estimativa)</t>
  </si>
  <si>
    <t xml:space="preserve">Seg–qui 9h–21h; sex–sáb 9h–22h; dom 9h–21h</t>
  </si>
  <si>
    <t xml:space="preserve">Loja grande de beleza com seção de K-beauty; maior nota entre as duas Beauty Master. Reviews mistos sobre atendimento.</t>
  </si>
  <si>
    <t xml:space="preserve">https://www.google.com/maps/place/?q=place_id:ChIJW87WdDN554gR7368-QKpmpM</t>
  </si>
  <si>
    <t xml:space="preserve">Beleza (alternativa)</t>
  </si>
  <si>
    <t xml:space="preserve">Beauty Master – Florida Mall (4,3★, 250 aval.)</t>
  </si>
  <si>
    <t xml:space="preserve">1631 Florida Mall Ave, Orlando, FL 32809</t>
  </si>
  <si>
    <t xml:space="preserve">Ao lado do Florida Mall (05/12), caso prefira juntar com aquele dia.</t>
  </si>
  <si>
    <t xml:space="preserve">https://www.google.com/maps/place/?q=place_id:ChIJi2BHhIx954gRa8OkYa-2tRA</t>
  </si>
  <si>
    <t xml:space="preserve">Off-price</t>
  </si>
  <si>
    <t xml:space="preserve">Nordstrom Rack – Eastgate / Millenia (4,2★, 1.697 aval.)</t>
  </si>
  <si>
    <t xml:space="preserve">4036 Eastgate Dr, Orlando, FL 32839</t>
  </si>
  <si>
    <t xml:space="preserve">~10 min (~5,5 km)</t>
  </si>
  <si>
    <t xml:space="preserve">Seg–sáb 10h–21h; dom 11h–19h</t>
  </si>
  <si>
    <t xml:space="preserve">A única do tipo na região de Millenia, a poucos minutos do dia de compras 08/12. Reviews: loja menor que a média e devolução rígida.</t>
  </si>
  <si>
    <t xml:space="preserve">https://www.google.com/maps/place/?q=place_id:ChIJp3kkkgJ854gRrmSEK2BqGX8</t>
  </si>
  <si>
    <t xml:space="preserve">Passeio/centrinho</t>
  </si>
  <si>
    <t xml:space="preserve">Winter Garden – Farmers Market (4,8★), Plant St. Market (4,8★) e splash pad</t>
  </si>
  <si>
    <t xml:space="preserve">104 S Lakeview Ave e 426 W Plant St, Winter Garden, FL 34787</t>
  </si>
  <si>
    <t xml:space="preserve">Winter Garden</t>
  </si>
  <si>
    <t xml:space="preserve">Market: sáb 8h–13h | Plant St.: 11h–23h (sex–sáb até 0h) | Splash pad: 9h–21h</t>
  </si>
  <si>
    <t xml:space="preserve">Centro charmoso, plano, com opções de comida e brincar para criança pequena.</t>
  </si>
  <si>
    <t xml:space="preserve">https://www.google.com/maps/place/?q=place_id:ChIJ0x5DRC-D54gRagoMpss4SK0</t>
  </si>
  <si>
    <t xml:space="preserve">Bebê</t>
  </si>
  <si>
    <t xml:space="preserve">buybuy BABY</t>
  </si>
  <si>
    <t xml:space="preserve">(antiga loja: 3206 E Colonial Dr)</t>
  </si>
  <si>
    <t xml:space="preserve">FECHADA. A rede fechou todas as lojas físicas e agora só vende online. Para bebê/criança: Target, Walmart, Carter's/OshKosh (outlets e LBV Factory Stores) e Five Below.</t>
  </si>
  <si>
    <t xml:space="preserve">Fechada</t>
  </si>
  <si>
    <t xml:space="preserve">https://www.fox35orlando.com/news/buybuy-baby-closing-all-stores-shifting-online-only-strategic-reset</t>
  </si>
  <si>
    <t xml:space="preserve">Já estavam na sua planilha (não repeti): Orlando International e Vineland Premium Outlets, Orlando Outlet Marketplace, Lake Buena Vista Factory Stores, Disney Character Warehouse (Vineland e International), Carter's (inclusive Carter's + OshKosh na LBV Factory Stores).</t>
  </si>
  <si>
    <t xml:space="preserve">Chef Mickey's — café da manhã (10/12) para quem NÃO está hospedado na Disney</t>
  </si>
  <si>
    <t xml:space="preserve">CUSTO ESTIMADO (células azuis = premissas que você pode mudar)</t>
  </si>
  <si>
    <t xml:space="preserve">Adultos</t>
  </si>
  <si>
    <t xml:space="preserve">Você e a esposa</t>
  </si>
  <si>
    <t xml:space="preserve">Preço do café da manhã por adulto (US$)</t>
  </si>
  <si>
    <t xml:space="preserve">AllEars (cardápio/preço 2026); bebida tradicional de café da manhã inclusa</t>
  </si>
  <si>
    <t xml:space="preserve">Crianças de 3–9 anos</t>
  </si>
  <si>
    <t xml:space="preserve">Seu filho tem ~2 anos → entra como menor de 3 (não paga). Se completar 3 até 10/12, muda.</t>
  </si>
  <si>
    <t xml:space="preserve">Preço por criança 3–9 (US$)</t>
  </si>
  <si>
    <t xml:space="preserve">AllEars</t>
  </si>
  <si>
    <t xml:space="preserve">Imposto sobre vendas</t>
  </si>
  <si>
    <t xml:space="preserve">Premissa: 6,5% (Orange County). Confirmar.</t>
  </si>
  <si>
    <t xml:space="preserve">Gorjeta sugerida (sobre o valor antes do imposto)</t>
  </si>
  <si>
    <t xml:space="preserve">Premissa: não é obrigatória; 18–20% é o costume.</t>
  </si>
  <si>
    <t xml:space="preserve">Estacionamento (US$)</t>
  </si>
  <si>
    <t xml:space="preserve">US$0 se valer "grátis com reserva de restaurante" (3 fontes). Se cobrarem tarifa de parque, digite o valor aqui.</t>
  </si>
  <si>
    <t xml:space="preserve">Subtotal da comida</t>
  </si>
  <si>
    <t xml:space="preserve">Imposto</t>
  </si>
  <si>
    <t xml:space="preserve">Gorjeta</t>
  </si>
  <si>
    <t xml:space="preserve">Estacionamento</t>
  </si>
  <si>
    <t xml:space="preserve">TOTAL ESTIMADO</t>
  </si>
  <si>
    <t xml:space="preserve">Total em R$ (premissa de câmbio abaixo)</t>
  </si>
  <si>
    <t xml:space="preserve">Câmbio R$ por US$ (premissa, ajuste)</t>
  </si>
  <si>
    <t xml:space="preserve">Premissa minha, não é cotação — atualize.</t>
  </si>
  <si>
    <t xml:space="preserve">COMPARAÇÃO RÁPIDA (mesma conta, 2 adultos, criança grátis)</t>
  </si>
  <si>
    <t xml:space="preserve">Cape May Cafe (Beach Club): adulto US$49</t>
  </si>
  <si>
    <t xml:space="preserve">Preço da aba "Lugares com criança". Mesma premissa de imposto e gorjeta.</t>
  </si>
  <si>
    <t xml:space="preserve">Chef Mickey's</t>
  </si>
  <si>
    <t xml:space="preserve">Diferença</t>
  </si>
  <si>
    <t xml:space="preserve">ACESSO E ESTACIONAMENTO (sem estar hospedado)</t>
  </si>
  <si>
    <t xml:space="preserve">Reserva</t>
  </si>
  <si>
    <t xml:space="preserve">Obrigatória na prática. Abre 60 dias antes: para 10/12 é 11/10/2026. Reserva de restaurante exige cartão de crédito; confirmar a política de cancelamento na hora de reservar.</t>
  </si>
  <si>
    <t xml:space="preserve">Fontes: estacionamento nos hotéis Disney é grátis para quem tem reserva de restaurante confirmada; sem reserva ou hospedagem, não entra. Uma das páginas diz também que visitantes pagariam tarifa de parque — as fontes se contradizem, então confirme com a Disney (telefone/chat) antes de pagar a reserva. Valet (US$33/noite) não é necessário.</t>
  </si>
  <si>
    <t xml:space="preserve">Como chegar</t>
  </si>
  <si>
    <t xml:space="preserve">De carro: portão do Contemporary, mostrar a confirmação no My Disney Experience ao Cast Member, estacionar na garagem e subir até o saguão/Grand Canyon Concourse, onde fica o Chef Mickey's (confirmar o andar no app). Chegar 15–20 min antes. Sair de casa ~8h10 (25–35 min).</t>
  </si>
  <si>
    <t xml:space="preserve">Alternativa sem carro</t>
  </si>
  <si>
    <t xml:space="preserve">Táxi/Uber até o hotel evita estacionamento e a regra de lotação; custo extra de ida e volta.</t>
  </si>
  <si>
    <t xml:space="preserve">Criança</t>
  </si>
  <si>
    <t xml:space="preserve">Menores de 3 não pagam, mas conte a criança na reserva (assento/cadeirão). É um buffet com personagens que circulam pelas mesas.</t>
  </si>
  <si>
    <t xml:space="preserve">Impacto no dia</t>
  </si>
  <si>
    <t xml:space="preserve">Café ~9h, volta ao hotel ~13h para a soneca, Disney Springs às 16h30. Dia já é cheio; 2 deslocamentos de 25–35 min.</t>
  </si>
  <si>
    <t xml:space="preserve">VALE A PENA? (visão equilibrada)</t>
  </si>
  <si>
    <t xml:space="preserve">A favor</t>
  </si>
  <si>
    <t xml:space="preserve">Personagens à mesa e sem fila, bom para criança de 2 anos; sua criança come de graça; gingerbread e monotrilho no mesmo passeio; clima de Natal. Você já vai a 3 parques Disney + festa, então os personagens também aparecem lá, mas com fila.</t>
  </si>
  <si>
    <t xml:space="preserve">Contra</t>
  </si>
  <si>
    <t xml:space="preserve">Custo de ~US$150 para uma refeição de ~1h30 em que só os adultos pagam; manhã cedo com criança pequena; 25–35 min de carro cada ida/volta; incerteza do estacionamento; reserva abre amanhã (pressa). Cape May Cafe é mais barato e igualmente com personagens, e há opções de café "normal" + ver o gingerbread de graça.</t>
  </si>
  <si>
    <t xml:space="preserve">Minha leitura</t>
  </si>
  <si>
    <t xml:space="preserve">Faz sentido se personagens à mesa forem prioridade; caso contrário, vale mais o Cape May Cafe (≈US$25 a menos pela conta acima) ou pular a refeição e só passear nos hotéis. Nenhuma das opções é "100% melhor": depende do que importa mais para vocês — custo, rotina da criança ou experiência.</t>
  </si>
  <si>
    <t xml:space="preserve">FONTES E LIMITAÇÕES</t>
  </si>
  <si>
    <t xml:space="preserve">Preço do café da manhã (US$59 adulto / US$38 criança 3–9): https://allears.net/dining/menu/chef-mickeys/breakfast/ — a página não lista a regra de menores de 3 nem o horário; isso vem da aba "Lugares com criança" (confirmar na reserva).</t>
  </si>
  <si>
    <t xml:space="preserve">Estacionamento em hotéis Disney (grátis com reserva de restaurante; valet US$33): https://disneyblog.com/faq/planning/much-parking-cost-walt-disney-world-resort-hotels/ (atualizada em 2026, mas com sinais contraditórios sobre tarifa de visitante).</t>
  </si>
  <si>
    <t xml:space="preserve">Regra de entrada em hotéis: https://disneyparkadvisor.com/transportation/non-resort-guest-parking/ (atualizada em 03/2024) e https://www.disneyfoodblog.com/2022/12/20/why-you-may-not-be-able-to-park-at-disney-world-hotels/ (2022; quick-service não vale).</t>
  </si>
  <si>
    <t xml:space="preserve">Imposto (6,5%), gorjeta (20%) e câmbio (5,5) são PREMISSAS minhas, não valores oficiais.</t>
  </si>
  <si>
    <t xml:space="preserve">Tema</t>
  </si>
  <si>
    <t xml:space="preserve">Dica / ressalva</t>
  </si>
  <si>
    <t xml:space="preserve">13/12 – horário de saída</t>
  </si>
  <si>
    <t xml:space="preserve">Saindo ao meio-dia, a chegada ao MIA fica por volta de 16h30–17h30, sem paradas. Para um voo internacional às 19:50 o ideal é chegar ~16h50 (3h antes), e ainda há a devolução do carro + MIA Mover. Recomendo sair 9h–10h. Parada no Sawgrass ou no Dolphin Mall só saindo ~6h30–7h.</t>
  </si>
  <si>
    <t xml:space="preserve">Reservas para fazer já</t>
  </si>
  <si>
    <t xml:space="preserve">Chef Mickey's / Cape May Cafe para 10/12: as reservas abrem 60 dias antes = 11/10/2026 (amanhã em relação a 10/10). Antes, decida com a aba "Chef Mickey's (custos)". Gaylord ice! (se for): só online, com horário marcado.</t>
  </si>
  <si>
    <t xml:space="preserve">Black Friday 2026</t>
  </si>
  <si>
    <t xml:space="preserve">Ação de Graças 26/11, Black Friday 27/11 (vocês estarão voando), Cyber Monday 30/11 (dia do MK). Evitei lojas lotadas no fim de semana de 28–29/11 (só Walmart na chegada e Disney Springs com compras leves no domingo); o primeiro dia de outlet é terça, 01/12.</t>
  </si>
  <si>
    <t xml:space="preserve">Cupons</t>
  </si>
  <si>
    <t xml:space="preserve">Antes de ir, faça o cadastro grátis no VIP do Simon / Premium Outlets para os cupons; o balcão do International fecha às terças e quartas. RL Children's: cadastro na loja dá 25–30% extra (nota da sua planilha).</t>
  </si>
  <si>
    <t xml:space="preserve">Os preços nas etiquetas não incluem imposto sobre vendas: ele é somado no caixa.</t>
  </si>
  <si>
    <t xml:space="preserve">Idade da criança</t>
  </si>
  <si>
    <t xml:space="preserve">Com 2 anos a criança é grátis em Crayola, KSC e nos restaurantes Disney (menores de 3), e menores de 3 não pagam no Gaylord ice!. MAS paga no Peppa Pig (a partir de 2). Gatorland e SEA LIFE saíram do roteiro; no ICON Park, confirmar regra/preço da roda-gigante para 2 anos.</t>
  </si>
  <si>
    <t xml:space="preserve">Domingos</t>
  </si>
  <si>
    <t xml:space="preserve">Shoppings e outlets abrem às 11h aos domingos. Barcos do Lake Eola fecham às segundas. O Orlando Science Center fecha às quartas (fora das férias escolares).</t>
  </si>
  <si>
    <t xml:space="preserve">Disney 2026</t>
  </si>
  <si>
    <t xml:space="preserve">Para estacionar em hotel Disney é preciso estar hospedado ou ter reserva de restaurante. Ônibus de Disney Springs para os hotéis também exigem reserva. Vá de carro direto ao hotel onde for comer, com a confirmação aberta no My Disney Experience.</t>
  </si>
  <si>
    <t xml:space="preserve">Horários</t>
  </si>
  <si>
    <t xml:space="preserve">Horários de feriado de 2026 da maioria dos shoppings ainda não foram publicados; confira na véspera (sites oficiais/app Simon).</t>
  </si>
  <si>
    <t xml:space="preserve">Premissas desta versão</t>
  </si>
  <si>
    <t xml:space="preserve">"Interpark" foi interpretado como ICON Park. Disney Springs aparece em 29/11 e 10/12 (propositalmente: uma vez p/ ingressos+compras, outra p/ Natal). Best Buy aparece no Florida Mall (05/12) e no Millenia (08/12): vá só a um, o que tiver o produto. Tempos de carro novos são estimativas. A loja coreana é a Beauty Master (W Colonial); a moida K-Beauty saiu. Nordstrom Rack: só a de Eastgate (08/12); a de Winter Park é longe demais.</t>
  </si>
  <si>
    <t xml:space="preserve">Fonte</t>
  </si>
  <si>
    <t xml:space="preserve">Crayola Experience – horários</t>
  </si>
  <si>
    <t xml:space="preserve">https://www.crayolaexperience.com/orlando/plan-your-visit/hours</t>
  </si>
  <si>
    <t xml:space="preserve">Crayola Experience – FAQ/preços</t>
  </si>
  <si>
    <t xml:space="preserve">Gaylord Palms – Christmas 2026 / ice!</t>
  </si>
  <si>
    <t xml:space="preserve">Gaylord Palms – ingressos ice!</t>
  </si>
  <si>
    <t xml:space="preserve">https://tickets.gaylordpalms.com/eventperformances.asp?evt=162</t>
  </si>
  <si>
    <t xml:space="preserve">Florida Today – preços ice! 2026</t>
  </si>
  <si>
    <t xml:space="preserve">https://www.floridatoday.com/story/entertainment/2026/07/24/polar-express-florida-gaylord-palms-holiday-ice-attraction/91033818007/</t>
  </si>
  <si>
    <t xml:space="preserve">buybuy BABY – fechamento das lojas (FOX 35)</t>
  </si>
  <si>
    <t xml:space="preserve">Disney Springs – Christmas Tree Stroll</t>
  </si>
  <si>
    <t xml:space="preserve">WDWMAGIC – Disney Springs Holiday 2026</t>
  </si>
  <si>
    <t xml:space="preserve">https://www.wdwmagic.com/attractions/disney-springs/news/24jun2026-disney-springs-holiday-2026-christmas-trees-live-music-and-seasonal-eats.htm</t>
  </si>
  <si>
    <t xml:space="preserve">WDWNT – Disney Springs 2026 (Santa, Tree Stroll)</t>
  </si>
  <si>
    <t xml:space="preserve">https://wdwnt.com/2026/06/christmas-tree-stroll-santa-claus-meet-greet-and-more-returning-to-disney-springs-for-2026-holidays/</t>
  </si>
  <si>
    <t xml:space="preserve">WDWMAGIC – Grand Floridian gingerbread aposentado</t>
  </si>
  <si>
    <t xml:space="preserve">https://www.wdwmagic.com/resorts/disneys-grand-floridian-resort-and-spa/news/30jun2026-disney-issues-official-statement-on-grand-floridian-gingerbread-house-for-2026.htm</t>
  </si>
  <si>
    <t xml:space="preserve">Disney Tourist Blog – gingerbread e regras de resort hopping</t>
  </si>
  <si>
    <t xml:space="preserve">https://www.disneytouristblog.com/disney-world-retires-flagship-resort-christmas-gingerbread-house-adds-hotel-hopping-rules/</t>
  </si>
  <si>
    <t xml:space="preserve">Disney Springs – estacionamento e regra de ônibus</t>
  </si>
  <si>
    <t xml:space="preserve">https://www.disneysprings.com/plan-your-visit/</t>
  </si>
  <si>
    <t xml:space="preserve">WDWMAGIC – política de ônibus de Disney Springs</t>
  </si>
  <si>
    <t xml:space="preserve">https://www.wdwmagic.com/attractions/disney-springs/news/29jun2026-disney-updates-official-website-with-disney-springs-bus-verification-policy-details.htm</t>
  </si>
  <si>
    <t xml:space="preserve">World of Disney</t>
  </si>
  <si>
    <t xml:space="preserve">Chef Mickey's – menu/preço 2026 (WDWMAGIC)</t>
  </si>
  <si>
    <t xml:space="preserve">https://www.wdwmagic.com/dining/chef-mickeys-restaurant/menus/breakfast/sep2026.htm</t>
  </si>
  <si>
    <t xml:space="preserve">Cape May Cafe</t>
  </si>
  <si>
    <t xml:space="preserve">SEA LIFE Orlando – planeje sua visita</t>
  </si>
  <si>
    <t xml:space="preserve">https://www.visitsealife.com/orlando/plan-your-day/</t>
  </si>
  <si>
    <t xml:space="preserve">SEA LIFE Orlando – preços</t>
  </si>
  <si>
    <t xml:space="preserve">https://orlando-support.visitsealife.com/hc/en-us/articles/115003193851-How-much-does-a-SEA-LIFE-Orlando-Aquarium-ticket-cost</t>
  </si>
  <si>
    <t xml:space="preserve">Gatorland – horários e preços</t>
  </si>
  <si>
    <t xml:space="preserve">Leu Gardens – ingresso e horários</t>
  </si>
  <si>
    <t xml:space="preserve">Dazzling Nights (Leu Gardens)</t>
  </si>
  <si>
    <t xml:space="preserve">https://www.dazzlingorlando.com/faq</t>
  </si>
  <si>
    <t xml:space="preserve">Peppa Pig Theme Park – FAQ</t>
  </si>
  <si>
    <t xml:space="preserve">https://www.peppapigthemepark.com/florida/faqs/</t>
  </si>
  <si>
    <t xml:space="preserve">Peppa Pig – ingressos</t>
  </si>
  <si>
    <t xml:space="preserve">https://www.peppapigthemepark.com/florida/tickets-passes/tickets/</t>
  </si>
  <si>
    <t xml:space="preserve">Peppa Pig – calendário dez/2026 (não oficial)</t>
  </si>
  <si>
    <t xml:space="preserve">https://queue-times.com/parks/316/calendar/2026/12</t>
  </si>
  <si>
    <t xml:space="preserve">Orlando Science Center – visita</t>
  </si>
  <si>
    <t xml:space="preserve">https://www.osc.org/visit/exhibits/kidstown/</t>
  </si>
  <si>
    <t xml:space="preserve">Lake Eola – barcos-cisne (Prefeitura)</t>
  </si>
  <si>
    <t xml:space="preserve">Orlando Farmers Market (Lake Eola)</t>
  </si>
  <si>
    <t xml:space="preserve">https://www.orlando.gov/Events/Orlando-Farmers-Market</t>
  </si>
  <si>
    <t xml:space="preserve">Celebration – Now Snowing 2026</t>
  </si>
  <si>
    <t xml:space="preserve">Kennedy Space Center – horários</t>
  </si>
  <si>
    <t xml:space="preserve">https://www.kennedyspacecenter.com/info/plan-your-visit/hours-of-operation/</t>
  </si>
  <si>
    <t xml:space="preserve">Kennedy Space Center – ingressos</t>
  </si>
  <si>
    <t xml:space="preserve">https://tickets.kennedyspacecenter.com/webstore/shop/viewitems.aspx?c=admission&amp;cg=consumer</t>
  </si>
  <si>
    <t xml:space="preserve">The Florida Mall – sobre/horários</t>
  </si>
  <si>
    <t xml:space="preserve">The Mall at Millenia – visite</t>
  </si>
  <si>
    <t xml:space="preserve">https://www.mallatmillenia.com/visit/</t>
  </si>
  <si>
    <t xml:space="preserve">The Mall at Millenia – Wikipedia (lojas âncora)</t>
  </si>
  <si>
    <t xml:space="preserve">https://en.wikipedia.org/wiki/The_Mall_at_Millenia</t>
  </si>
  <si>
    <t xml:space="preserve">Orlando International Premium Outlets – sobre</t>
  </si>
  <si>
    <t xml:space="preserve">https://www.premiumoutlets.com/outlet/orlando-international/about</t>
  </si>
  <si>
    <t xml:space="preserve">Orlando Vineland Premium Outlets – sobre</t>
  </si>
  <si>
    <t xml:space="preserve">https://www.premiumoutlets.com/outlet/orlando-vineland/about</t>
  </si>
  <si>
    <t xml:space="preserve">Orlando Outlet Marketplace – horários</t>
  </si>
  <si>
    <t xml:space="preserve">https://www.premiumoutlets.com/outlet/orlando-outlet-marketplace/hours</t>
  </si>
  <si>
    <t xml:space="preserve">Sawgrass Mills – horários (I-75 Exit Guide)</t>
  </si>
  <si>
    <t xml:space="preserve">https://www.i75exitguide.com/outlet-malls/sawgrass-mills-sunrise-fl/</t>
  </si>
  <si>
    <t xml:space="preserve">Dolphin Mall – horários</t>
  </si>
  <si>
    <t xml:space="preserve">https://www.simon.com/mall/dolphin-mall/hours</t>
  </si>
  <si>
    <t xml:space="preserve">Tempos de carro – OSRM / OpenStreetMap (rota sem trânsito)</t>
  </si>
  <si>
    <t xml:space="preserve">https://router.project-osrm.org/</t>
  </si>
  <si>
    <t xml:space="preserve">Chef Mickey's – preços de café da manhã (AllEars)</t>
  </si>
  <si>
    <t xml:space="preserve">https://allears.net/dining/menu/chef-mickeys/breakfast/</t>
  </si>
  <si>
    <t xml:space="preserve">Estacionamento em hotéis Disney (Disney Blog)</t>
  </si>
  <si>
    <t xml:space="preserve">https://disneyblog.com/faq/planning/much-parking-cost-walt-disney-world-resort-hotels/</t>
  </si>
  <si>
    <t xml:space="preserve">Estacionamento para não hóspedes (Disney Park Advisor, 2024)</t>
  </si>
  <si>
    <t xml:space="preserve">https://disneyparkadvisor.com/transportation/non-resort-guest-parking/</t>
  </si>
  <si>
    <t xml:space="preserve">Estacionamento em hotéis Disney (Disney Food Blog, 2022)</t>
  </si>
  <si>
    <t xml:space="preserve">https://www.disneyfoodblog.com/2022/12/20/why-you-may-not-be-able-to-park-at-disney-world-hotels/</t>
  </si>
  <si>
    <t xml:space="preserve">Beauty Master W Colonial – Google Maps</t>
  </si>
  <si>
    <t xml:space="preserve">Nordstrom Rack Eastgate – Google Maps</t>
  </si>
  <si>
    <t xml:space="preserve">Winter Garden Farmers Market – cidade de Winter Garden</t>
  </si>
  <si>
    <t xml:space="preserve">Winter Garden Village – Google Maps</t>
  </si>
  <si>
    <t xml:space="preserve">https://www.google.com/maps/place/?q=place_id:ChIJ5bbbouuD54gR0D6cJLHwC9A</t>
  </si>
  <si>
    <t xml:space="preserve">ICON Park</t>
  </si>
  <si>
    <t xml:space="preserve">Sua planilha de lojas (fonte das lojas ⭐)</t>
  </si>
  <si>
    <t xml:space="preserve">Guia de compras — Orlando 2026 (anexo)</t>
  </si>
</sst>
</file>

<file path=xl/styles.xml><?xml version="1.0" encoding="utf-8"?>
<styleSheet xmlns="http://schemas.openxmlformats.org/spreadsheetml/2006/main">
  <numFmts count="5">
    <numFmt numFmtId="164" formatCode="General"/>
    <numFmt numFmtId="165" formatCode="&quot;US$&quot;#,##0.00"/>
    <numFmt numFmtId="166" formatCode="0.0%"/>
    <numFmt numFmtId="167" formatCode="&quot;R$&quot;#,##0.00"/>
    <numFmt numFmtId="168" formatCode="0.00"/>
  </numFmts>
  <fonts count="19">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
      <b val="true"/>
      <sz val="11"/>
      <name val="Calibri"/>
      <family val="0"/>
      <charset val="1"/>
    </font>
    <font>
      <b val="true"/>
      <sz val="11"/>
      <color rgb="FF404040"/>
      <name val="Calibri"/>
      <family val="0"/>
      <charset val="1"/>
    </font>
    <font>
      <sz val="11"/>
      <name val="Calibri"/>
      <family val="0"/>
      <charset val="1"/>
    </font>
    <font>
      <b val="true"/>
      <sz val="11"/>
      <color rgb="FF0B5345"/>
      <name val="Calibri"/>
      <family val="0"/>
      <charset val="1"/>
    </font>
    <font>
      <b val="true"/>
      <sz val="11"/>
      <color rgb="FF7F6000"/>
      <name val="Calibri"/>
      <family val="0"/>
      <charset val="1"/>
    </font>
    <font>
      <b val="true"/>
      <sz val="11"/>
      <color rgb="FFC55A11"/>
      <name val="Calibri"/>
      <family val="0"/>
      <charset val="1"/>
    </font>
    <font>
      <b val="true"/>
      <sz val="11"/>
      <color rgb="FF1F4E79"/>
      <name val="Calibri"/>
      <family val="0"/>
      <charset val="1"/>
    </font>
    <font>
      <b val="true"/>
      <sz val="11"/>
      <color rgb="FF9C1F6B"/>
      <name val="Calibri"/>
      <family val="0"/>
      <charset val="1"/>
    </font>
    <font>
      <b val="true"/>
      <sz val="11"/>
      <color rgb="FF375623"/>
      <name val="Calibri"/>
      <family val="0"/>
      <charset val="1"/>
    </font>
    <font>
      <b val="true"/>
      <sz val="11"/>
      <color rgb="FF5B2C83"/>
      <name val="Calibri"/>
      <family val="0"/>
      <charset val="1"/>
    </font>
    <font>
      <i val="true"/>
      <sz val="11"/>
      <color rgb="FF595959"/>
      <name val="Cambria"/>
      <family val="0"/>
      <charset val="1"/>
    </font>
    <font>
      <b val="true"/>
      <sz val="11"/>
      <name val="Cambria"/>
      <family val="0"/>
      <charset val="1"/>
    </font>
    <font>
      <b val="true"/>
      <sz val="14"/>
      <name val="Calibri"/>
      <family val="0"/>
      <charset val="1"/>
    </font>
    <font>
      <sz val="11"/>
      <color rgb="FF0000FF"/>
      <name val="Calibri"/>
      <family val="0"/>
      <charset val="1"/>
    </font>
  </fonts>
  <fills count="14">
    <fill>
      <patternFill patternType="none"/>
    </fill>
    <fill>
      <patternFill patternType="gray125"/>
    </fill>
    <fill>
      <patternFill patternType="solid">
        <fgColor rgb="FF1F4E78"/>
        <bgColor rgb="FF1F4E79"/>
      </patternFill>
    </fill>
    <fill>
      <patternFill patternType="solid">
        <fgColor rgb="FFD9D9D9"/>
        <bgColor rgb="FFBDD7EE"/>
      </patternFill>
    </fill>
    <fill>
      <patternFill patternType="solid">
        <fgColor rgb="FF9FE0D6"/>
        <bgColor rgb="FFBDD7EE"/>
      </patternFill>
    </fill>
    <fill>
      <patternFill patternType="solid">
        <fgColor rgb="FFFFF2CC"/>
        <bgColor rgb="FFFFEB9C"/>
      </patternFill>
    </fill>
    <fill>
      <patternFill patternType="solid">
        <fgColor rgb="FFBDD7EE"/>
        <bgColor rgb="FFD9D9D9"/>
      </patternFill>
    </fill>
    <fill>
      <patternFill patternType="solid">
        <fgColor rgb="FFF8CBAD"/>
        <bgColor rgb="FFFFC7CE"/>
      </patternFill>
    </fill>
    <fill>
      <patternFill patternType="solid">
        <fgColor rgb="FFC6E0B4"/>
        <bgColor rgb="FFC6EFCE"/>
      </patternFill>
    </fill>
    <fill>
      <patternFill patternType="solid">
        <fgColor rgb="FFD9C2F0"/>
        <bgColor rgb="FFF4B6D9"/>
      </patternFill>
    </fill>
    <fill>
      <patternFill patternType="solid">
        <fgColor rgb="FFF4B6D9"/>
        <bgColor rgb="FFFFC7CE"/>
      </patternFill>
    </fill>
    <fill>
      <patternFill patternType="solid">
        <fgColor rgb="FFC6EFCE"/>
        <bgColor rgb="FFC6E0B4"/>
      </patternFill>
    </fill>
    <fill>
      <patternFill patternType="solid">
        <fgColor rgb="FFFFEB9C"/>
        <bgColor rgb="FFFFF2CC"/>
      </patternFill>
    </fill>
    <fill>
      <patternFill patternType="solid">
        <fgColor rgb="FFFFC7CE"/>
        <bgColor rgb="FFF8CBA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0" fillId="3"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4" fontId="10" fillId="7" borderId="1" xfId="0" applyFont="true" applyBorder="true" applyAlignment="true" applyProtection="false">
      <alignment horizontal="general" vertical="top" textRotation="0" wrapText="true" indent="0" shrinkToFit="false"/>
      <protection locked="true" hidden="false"/>
    </xf>
    <xf numFmtId="164" fontId="11" fillId="6" borderId="1" xfId="0" applyFont="true" applyBorder="true" applyAlignment="true" applyProtection="false">
      <alignment horizontal="general" vertical="top" textRotation="0" wrapText="true" indent="0" shrinkToFit="false"/>
      <protection locked="true" hidden="false"/>
    </xf>
    <xf numFmtId="164" fontId="5" fillId="8" borderId="1" xfId="0" applyFont="true" applyBorder="true" applyAlignment="true" applyProtection="false">
      <alignment horizontal="general" vertical="top" textRotation="0" wrapText="true" indent="0" shrinkToFit="false"/>
      <protection locked="true" hidden="false"/>
    </xf>
    <xf numFmtId="164" fontId="9" fillId="8" borderId="1" xfId="0" applyFont="true" applyBorder="true" applyAlignment="true" applyProtection="false">
      <alignment horizontal="general" vertical="top" textRotation="0" wrapText="true" indent="0" shrinkToFit="false"/>
      <protection locked="true" hidden="false"/>
    </xf>
    <xf numFmtId="164" fontId="13" fillId="8" borderId="1" xfId="0" applyFont="true" applyBorder="true" applyAlignment="true" applyProtection="false">
      <alignment horizontal="general" vertical="top" textRotation="0" wrapText="true" indent="0" shrinkToFit="false"/>
      <protection locked="true" hidden="false"/>
    </xf>
    <xf numFmtId="164" fontId="9" fillId="7"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8" fillId="6" borderId="1" xfId="0" applyFont="true" applyBorder="true" applyAlignment="true" applyProtection="false">
      <alignment horizontal="general" vertical="top" textRotation="0" wrapText="true" indent="0" shrinkToFit="false"/>
      <protection locked="true" hidden="false"/>
    </xf>
    <xf numFmtId="164" fontId="5" fillId="9" borderId="1" xfId="0" applyFont="true" applyBorder="true" applyAlignment="true" applyProtection="false">
      <alignment horizontal="general" vertical="top" textRotation="0" wrapText="true" indent="0" shrinkToFit="false"/>
      <protection locked="true" hidden="false"/>
    </xf>
    <xf numFmtId="164" fontId="14" fillId="9" borderId="1" xfId="0" applyFont="true" applyBorder="true" applyAlignment="true" applyProtection="false">
      <alignment horizontal="general" vertical="top" textRotation="0" wrapText="true" indent="0" shrinkToFit="false"/>
      <protection locked="true" hidden="false"/>
    </xf>
    <xf numFmtId="164" fontId="12" fillId="8" borderId="1" xfId="0" applyFont="true" applyBorder="true" applyAlignment="true" applyProtection="false">
      <alignment horizontal="general" vertical="top"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0" fillId="7"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13" fillId="8" borderId="0" xfId="0" applyFont="true" applyBorder="false" applyAlignment="true" applyProtection="false">
      <alignment horizontal="general" vertical="top" textRotation="0" wrapText="true" indent="0" shrinkToFit="false"/>
      <protection locked="true" hidden="false"/>
    </xf>
    <xf numFmtId="164" fontId="11" fillId="6" borderId="0" xfId="0" applyFont="true" applyBorder="false" applyAlignment="true" applyProtection="false">
      <alignment horizontal="general" vertical="top" textRotation="0" wrapText="true" indent="0" shrinkToFit="false"/>
      <protection locked="true" hidden="false"/>
    </xf>
    <xf numFmtId="164" fontId="8" fillId="4" borderId="0" xfId="0" applyFont="true" applyBorder="false" applyAlignment="true" applyProtection="false">
      <alignment horizontal="general" vertical="top" textRotation="0" wrapText="true" indent="0" shrinkToFit="false"/>
      <protection locked="true" hidden="false"/>
    </xf>
    <xf numFmtId="164" fontId="12" fillId="10" borderId="0" xfId="0" applyFont="true" applyBorder="false" applyAlignment="true" applyProtection="false">
      <alignment horizontal="general" vertical="top" textRotation="0" wrapText="true" indent="0" shrinkToFit="false"/>
      <protection locked="true" hidden="false"/>
    </xf>
    <xf numFmtId="164" fontId="14" fillId="9" borderId="0" xfId="0" applyFont="true" applyBorder="false" applyAlignment="true" applyProtection="false">
      <alignment horizontal="general" vertical="top" textRotation="0" wrapText="true" indent="0" shrinkToFit="false"/>
      <protection locked="true" hidden="false"/>
    </xf>
    <xf numFmtId="164" fontId="9" fillId="5" borderId="0" xfId="0" applyFont="true" applyBorder="fals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top" textRotation="0" wrapText="true" indent="0" shrinkToFit="false"/>
      <protection locked="true" hidden="false"/>
    </xf>
    <xf numFmtId="164" fontId="16" fillId="11" borderId="1" xfId="0" applyFont="true" applyBorder="true" applyAlignment="true" applyProtection="false">
      <alignment horizontal="general" vertical="top" textRotation="0" wrapText="true" indent="0" shrinkToFit="false"/>
      <protection locked="true" hidden="false"/>
    </xf>
    <xf numFmtId="164" fontId="16" fillId="12" borderId="1" xfId="0" applyFont="true" applyBorder="true" applyAlignment="true" applyProtection="false">
      <alignment horizontal="general" vertical="top" textRotation="0" wrapText="true" indent="0" shrinkToFit="false"/>
      <protection locked="true" hidden="false"/>
    </xf>
    <xf numFmtId="164" fontId="16" fillId="13" borderId="1" xfId="0" applyFont="true" applyBorder="true" applyAlignment="true" applyProtection="false">
      <alignment horizontal="general" vertical="top"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5" fontId="18" fillId="0" borderId="0" xfId="0" applyFont="true" applyBorder="false" applyAlignment="false" applyProtection="false">
      <alignment horizontal="general" vertical="bottom" textRotation="0" wrapText="false" indent="0" shrinkToFit="false"/>
      <protection locked="true" hidden="false"/>
    </xf>
    <xf numFmtId="166" fontId="1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5" fillId="9" borderId="0" xfId="0" applyFont="true" applyBorder="false" applyAlignment="false" applyProtection="false">
      <alignment horizontal="general" vertical="bottom" textRotation="0" wrapText="false" indent="0" shrinkToFit="false"/>
      <protection locked="true" hidden="false"/>
    </xf>
    <xf numFmtId="165" fontId="5" fillId="9"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8" fontId="18"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1F4E78"/>
          <bgColor rgb="FF000000"/>
        </patternFill>
      </fill>
    </dxf>
    <dxf>
      <fill>
        <patternFill patternType="solid">
          <fgColor rgb="FFBDD7EE"/>
          <bgColor rgb="FF000000"/>
        </patternFill>
      </fill>
    </dxf>
    <dxf>
      <fill>
        <patternFill patternType="solid">
          <fgColor rgb="FFC6E0B4"/>
          <bgColor rgb="FF000000"/>
        </patternFill>
      </fill>
    </dxf>
    <dxf>
      <fill>
        <patternFill patternType="solid">
          <fgColor rgb="FFD9C2F0"/>
          <bgColor rgb="FF000000"/>
        </patternFill>
      </fill>
    </dxf>
    <dxf>
      <fill>
        <patternFill patternType="solid">
          <fgColor rgb="FFD9D9D9"/>
          <bgColor rgb="FF000000"/>
        </patternFill>
      </fill>
    </dxf>
    <dxf>
      <fill>
        <patternFill patternType="solid">
          <fgColor rgb="FFF8CBAD"/>
          <bgColor rgb="FF000000"/>
        </patternFill>
      </fill>
    </dxf>
    <dxf>
      <fill>
        <patternFill patternType="solid">
          <fgColor rgb="FFFFF2CC"/>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9FE0D6"/>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BFBFBF"/>
      <rgbColor rgb="FF808080"/>
      <rgbColor rgb="FF9999FF"/>
      <rgbColor rgb="FF9C1F6B"/>
      <rgbColor rgb="FFFFF2CC"/>
      <rgbColor rgb="FFBDD7EE"/>
      <rgbColor rgb="FF660066"/>
      <rgbColor rgb="FFFF8080"/>
      <rgbColor rgb="FF1F4E79"/>
      <rgbColor rgb="FFD9C2F0"/>
      <rgbColor rgb="FF000080"/>
      <rgbColor rgb="FFFF00FF"/>
      <rgbColor rgb="FFFFFF00"/>
      <rgbColor rgb="FF00FFFF"/>
      <rgbColor rgb="FF800080"/>
      <rgbColor rgb="FF800000"/>
      <rgbColor rgb="FF008080"/>
      <rgbColor rgb="FF0000FF"/>
      <rgbColor rgb="FF00CCFF"/>
      <rgbColor rgb="FFD9D9D9"/>
      <rgbColor rgb="FFC6EFCE"/>
      <rgbColor rgb="FFFFEB9C"/>
      <rgbColor rgb="FF9FE0D6"/>
      <rgbColor rgb="FFF4B6D9"/>
      <rgbColor rgb="FFFFC7CE"/>
      <rgbColor rgb="FFF8CBAD"/>
      <rgbColor rgb="FF3366FF"/>
      <rgbColor rgb="FF33CCCC"/>
      <rgbColor rgb="FF99CC00"/>
      <rgbColor rgb="FFFFCC00"/>
      <rgbColor rgb="FFFF9900"/>
      <rgbColor rgb="FFC55A11"/>
      <rgbColor rgb="FF595959"/>
      <rgbColor rgb="FFC6E0B4"/>
      <rgbColor rgb="FF1F4E78"/>
      <rgbColor rgb="FF339966"/>
      <rgbColor rgb="FF0B5345"/>
      <rgbColor rgb="FF375623"/>
      <rgbColor rgb="FF993300"/>
      <rgbColor rgb="FF993366"/>
      <rgbColor rgb="FF5B2C83"/>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5"/>
    <col collapsed="false" customWidth="true" hidden="false" outlineLevel="0" max="3" min="3" style="0" width="16"/>
    <col collapsed="false" customWidth="true" hidden="false" outlineLevel="0" max="5" min="4" style="0" width="48"/>
    <col collapsed="false" customWidth="true" hidden="false" outlineLevel="0" max="6" min="6" style="0" width="30"/>
    <col collapsed="false" customWidth="true" hidden="false" outlineLevel="0" max="7" min="7" style="0" width="48"/>
    <col collapsed="false" customWidth="true" hidden="false" outlineLevel="0" max="8" min="8" style="0" width="24"/>
    <col collapsed="false" customWidth="true" hidden="false" outlineLevel="0" max="9" min="9" style="0" width="40"/>
    <col collapsed="false" customWidth="true" hidden="false" outlineLevel="0" max="10" min="10" style="0" width="55"/>
  </cols>
  <sheetData>
    <row r="1" customFormat="false" ht="31.5" hidden="false" customHeight="true" outlineLevel="0" collapsed="false">
      <c r="A1" s="1" t="s">
        <v>0</v>
      </c>
      <c r="B1" s="1" t="s">
        <v>1</v>
      </c>
      <c r="C1" s="1" t="s">
        <v>2</v>
      </c>
      <c r="D1" s="1" t="s">
        <v>3</v>
      </c>
      <c r="E1" s="1" t="s">
        <v>4</v>
      </c>
      <c r="F1" s="1" t="s">
        <v>5</v>
      </c>
      <c r="G1" s="1" t="s">
        <v>6</v>
      </c>
      <c r="H1" s="1" t="s">
        <v>7</v>
      </c>
      <c r="I1" s="1" t="s">
        <v>8</v>
      </c>
      <c r="J1" s="1" t="s">
        <v>9</v>
      </c>
    </row>
    <row r="2" customFormat="false" ht="68.65" hidden="false" customHeight="false" outlineLevel="0" collapsed="false">
      <c r="A2" s="2" t="s">
        <v>10</v>
      </c>
      <c r="B2" s="2" t="s">
        <v>11</v>
      </c>
      <c r="C2" s="2" t="s">
        <v>12</v>
      </c>
      <c r="D2" s="3" t="s">
        <v>13</v>
      </c>
      <c r="E2" s="3" t="s">
        <v>13</v>
      </c>
      <c r="F2" s="4" t="s">
        <v>14</v>
      </c>
      <c r="G2" s="5" t="s">
        <v>15</v>
      </c>
      <c r="H2" s="5" t="s">
        <v>13</v>
      </c>
      <c r="I2" s="5" t="s">
        <v>16</v>
      </c>
      <c r="J2" s="5" t="s">
        <v>17</v>
      </c>
    </row>
    <row r="3" customFormat="false" ht="82.05" hidden="false" customHeight="false" outlineLevel="0" collapsed="false">
      <c r="A3" s="2" t="s">
        <v>18</v>
      </c>
      <c r="B3" s="2" t="s">
        <v>19</v>
      </c>
      <c r="C3" s="2" t="s">
        <v>20</v>
      </c>
      <c r="D3" s="4" t="s">
        <v>21</v>
      </c>
      <c r="E3" s="6" t="s">
        <v>22</v>
      </c>
      <c r="F3" s="7" t="s">
        <v>23</v>
      </c>
      <c r="G3" s="5" t="s">
        <v>24</v>
      </c>
      <c r="H3" s="5" t="s">
        <v>25</v>
      </c>
      <c r="I3" s="5" t="s">
        <v>26</v>
      </c>
      <c r="J3" s="5" t="s">
        <v>27</v>
      </c>
    </row>
    <row r="4" customFormat="false" ht="122.35" hidden="false" customHeight="false" outlineLevel="0" collapsed="false">
      <c r="A4" s="8" t="s">
        <v>28</v>
      </c>
      <c r="B4" s="8" t="s">
        <v>29</v>
      </c>
      <c r="C4" s="8" t="s">
        <v>30</v>
      </c>
      <c r="D4" s="7" t="s">
        <v>31</v>
      </c>
      <c r="E4" s="9" t="s">
        <v>32</v>
      </c>
      <c r="F4" s="7" t="s">
        <v>33</v>
      </c>
      <c r="G4" s="5" t="s">
        <v>34</v>
      </c>
      <c r="H4" s="5" t="s">
        <v>35</v>
      </c>
      <c r="I4" s="5" t="s">
        <v>36</v>
      </c>
      <c r="J4" s="5" t="s">
        <v>37</v>
      </c>
    </row>
    <row r="5" customFormat="false" ht="28.35" hidden="false" customHeight="false" outlineLevel="0" collapsed="false">
      <c r="A5" s="10" t="s">
        <v>38</v>
      </c>
      <c r="B5" s="10" t="s">
        <v>39</v>
      </c>
      <c r="C5" s="10" t="s">
        <v>40</v>
      </c>
      <c r="D5" s="11" t="s">
        <v>41</v>
      </c>
      <c r="E5" s="11" t="s">
        <v>42</v>
      </c>
      <c r="F5" s="11" t="s">
        <v>42</v>
      </c>
      <c r="G5" s="5" t="s">
        <v>43</v>
      </c>
      <c r="H5" s="5" t="s">
        <v>44</v>
      </c>
      <c r="I5" s="5" t="s">
        <v>45</v>
      </c>
      <c r="J5" s="5" t="s">
        <v>46</v>
      </c>
    </row>
    <row r="6" customFormat="false" ht="95.5" hidden="false" customHeight="false" outlineLevel="0" collapsed="false">
      <c r="A6" s="8" t="s">
        <v>47</v>
      </c>
      <c r="B6" s="8" t="s">
        <v>48</v>
      </c>
      <c r="C6" s="8" t="s">
        <v>49</v>
      </c>
      <c r="D6" s="12" t="s">
        <v>50</v>
      </c>
      <c r="E6" s="9" t="s">
        <v>51</v>
      </c>
      <c r="F6" s="7" t="s">
        <v>52</v>
      </c>
      <c r="G6" s="5" t="s">
        <v>53</v>
      </c>
      <c r="H6" s="5" t="s">
        <v>54</v>
      </c>
      <c r="I6" s="5" t="s">
        <v>55</v>
      </c>
      <c r="J6" s="5" t="s">
        <v>56</v>
      </c>
    </row>
    <row r="7" customFormat="false" ht="41.75" hidden="false" customHeight="false" outlineLevel="0" collapsed="false">
      <c r="A7" s="10" t="s">
        <v>57</v>
      </c>
      <c r="B7" s="10" t="s">
        <v>58</v>
      </c>
      <c r="C7" s="10" t="s">
        <v>40</v>
      </c>
      <c r="D7" s="11" t="s">
        <v>59</v>
      </c>
      <c r="E7" s="11" t="s">
        <v>60</v>
      </c>
      <c r="F7" s="11" t="s">
        <v>60</v>
      </c>
      <c r="G7" s="5" t="s">
        <v>61</v>
      </c>
      <c r="H7" s="5" t="s">
        <v>62</v>
      </c>
      <c r="I7" s="5" t="s">
        <v>63</v>
      </c>
      <c r="J7" s="5" t="s">
        <v>64</v>
      </c>
    </row>
    <row r="8" customFormat="false" ht="28.35" hidden="false" customHeight="false" outlineLevel="0" collapsed="false">
      <c r="A8" s="10" t="s">
        <v>65</v>
      </c>
      <c r="B8" s="10" t="s">
        <v>66</v>
      </c>
      <c r="C8" s="10" t="s">
        <v>40</v>
      </c>
      <c r="D8" s="11" t="s">
        <v>67</v>
      </c>
      <c r="E8" s="11" t="s">
        <v>68</v>
      </c>
      <c r="F8" s="11" t="s">
        <v>68</v>
      </c>
      <c r="G8" s="5" t="s">
        <v>69</v>
      </c>
      <c r="H8" s="5" t="s">
        <v>70</v>
      </c>
      <c r="I8" s="5" t="s">
        <v>13</v>
      </c>
      <c r="J8" s="5" t="s">
        <v>13</v>
      </c>
    </row>
    <row r="9" customFormat="false" ht="95.5" hidden="false" customHeight="false" outlineLevel="0" collapsed="false">
      <c r="A9" s="13" t="s">
        <v>71</v>
      </c>
      <c r="B9" s="13" t="s">
        <v>11</v>
      </c>
      <c r="C9" s="13" t="s">
        <v>72</v>
      </c>
      <c r="D9" s="12" t="s">
        <v>73</v>
      </c>
      <c r="E9" s="14" t="s">
        <v>74</v>
      </c>
      <c r="F9" s="15" t="s">
        <v>75</v>
      </c>
      <c r="G9" s="5" t="s">
        <v>76</v>
      </c>
      <c r="H9" s="5" t="s">
        <v>77</v>
      </c>
      <c r="I9" s="5" t="s">
        <v>78</v>
      </c>
      <c r="J9" s="5" t="s">
        <v>79</v>
      </c>
    </row>
    <row r="10" customFormat="false" ht="95.5" hidden="false" customHeight="false" outlineLevel="0" collapsed="false">
      <c r="A10" s="13" t="s">
        <v>80</v>
      </c>
      <c r="B10" s="13" t="s">
        <v>19</v>
      </c>
      <c r="C10" s="13" t="s">
        <v>81</v>
      </c>
      <c r="D10" s="15" t="s">
        <v>82</v>
      </c>
      <c r="E10" s="9" t="s">
        <v>83</v>
      </c>
      <c r="F10" s="15" t="s">
        <v>84</v>
      </c>
      <c r="G10" s="5" t="s">
        <v>85</v>
      </c>
      <c r="H10" s="5" t="s">
        <v>86</v>
      </c>
      <c r="I10" s="5" t="s">
        <v>87</v>
      </c>
      <c r="J10" s="5" t="s">
        <v>88</v>
      </c>
    </row>
    <row r="11" customFormat="false" ht="55.2" hidden="false" customHeight="false" outlineLevel="0" collapsed="false">
      <c r="A11" s="10" t="s">
        <v>89</v>
      </c>
      <c r="B11" s="10" t="s">
        <v>29</v>
      </c>
      <c r="C11" s="10" t="s">
        <v>90</v>
      </c>
      <c r="D11" s="7" t="s">
        <v>91</v>
      </c>
      <c r="E11" s="16" t="s">
        <v>92</v>
      </c>
      <c r="F11" s="11" t="s">
        <v>93</v>
      </c>
      <c r="G11" s="5" t="s">
        <v>94</v>
      </c>
      <c r="H11" s="5" t="s">
        <v>44</v>
      </c>
      <c r="I11" s="5" t="s">
        <v>95</v>
      </c>
      <c r="J11" s="5" t="s">
        <v>96</v>
      </c>
    </row>
    <row r="12" customFormat="false" ht="68.65" hidden="false" customHeight="false" outlineLevel="0" collapsed="false">
      <c r="A12" s="17" t="s">
        <v>97</v>
      </c>
      <c r="B12" s="17" t="s">
        <v>39</v>
      </c>
      <c r="C12" s="17" t="s">
        <v>98</v>
      </c>
      <c r="D12" s="7" t="s">
        <v>99</v>
      </c>
      <c r="E12" s="7" t="s">
        <v>100</v>
      </c>
      <c r="F12" s="7" t="s">
        <v>101</v>
      </c>
      <c r="G12" s="5" t="s">
        <v>102</v>
      </c>
      <c r="H12" s="5" t="s">
        <v>103</v>
      </c>
      <c r="I12" s="5" t="s">
        <v>104</v>
      </c>
      <c r="J12" s="5" t="s">
        <v>105</v>
      </c>
    </row>
    <row r="13" customFormat="false" ht="135.8" hidden="false" customHeight="false" outlineLevel="0" collapsed="false">
      <c r="A13" s="8" t="s">
        <v>106</v>
      </c>
      <c r="B13" s="8" t="s">
        <v>48</v>
      </c>
      <c r="C13" s="8" t="s">
        <v>107</v>
      </c>
      <c r="D13" s="18" t="s">
        <v>108</v>
      </c>
      <c r="E13" s="7" t="s">
        <v>109</v>
      </c>
      <c r="F13" s="7" t="s">
        <v>110</v>
      </c>
      <c r="G13" s="5" t="s">
        <v>111</v>
      </c>
      <c r="H13" s="5" t="s">
        <v>112</v>
      </c>
      <c r="I13" s="5" t="s">
        <v>113</v>
      </c>
      <c r="J13" s="5" t="s">
        <v>114</v>
      </c>
    </row>
    <row r="14" customFormat="false" ht="28.35" hidden="false" customHeight="false" outlineLevel="0" collapsed="false">
      <c r="A14" s="10" t="s">
        <v>115</v>
      </c>
      <c r="B14" s="10" t="s">
        <v>58</v>
      </c>
      <c r="C14" s="10" t="s">
        <v>40</v>
      </c>
      <c r="D14" s="11" t="s">
        <v>116</v>
      </c>
      <c r="E14" s="11" t="s">
        <v>117</v>
      </c>
      <c r="F14" s="11" t="s">
        <v>117</v>
      </c>
      <c r="G14" s="5" t="s">
        <v>118</v>
      </c>
      <c r="H14" s="5" t="s">
        <v>119</v>
      </c>
      <c r="I14" s="5" t="s">
        <v>120</v>
      </c>
      <c r="J14" s="5" t="s">
        <v>13</v>
      </c>
    </row>
    <row r="15" customFormat="false" ht="122.35" hidden="false" customHeight="false" outlineLevel="0" collapsed="false">
      <c r="A15" s="19" t="s">
        <v>121</v>
      </c>
      <c r="B15" s="19" t="s">
        <v>66</v>
      </c>
      <c r="C15" s="19" t="s">
        <v>122</v>
      </c>
      <c r="D15" s="20" t="s">
        <v>123</v>
      </c>
      <c r="E15" s="9" t="s">
        <v>124</v>
      </c>
      <c r="F15" s="15" t="s">
        <v>125</v>
      </c>
      <c r="G15" s="5" t="s">
        <v>126</v>
      </c>
      <c r="H15" s="5" t="s">
        <v>127</v>
      </c>
      <c r="I15" s="5" t="s">
        <v>128</v>
      </c>
      <c r="J15" s="5" t="s">
        <v>129</v>
      </c>
    </row>
    <row r="16" customFormat="false" ht="82.05" hidden="false" customHeight="false" outlineLevel="0" collapsed="false">
      <c r="A16" s="8" t="s">
        <v>130</v>
      </c>
      <c r="B16" s="8" t="s">
        <v>11</v>
      </c>
      <c r="C16" s="8" t="s">
        <v>131</v>
      </c>
      <c r="D16" s="12" t="s">
        <v>132</v>
      </c>
      <c r="E16" s="7" t="s">
        <v>133</v>
      </c>
      <c r="F16" s="7" t="s">
        <v>134</v>
      </c>
      <c r="G16" s="5" t="s">
        <v>135</v>
      </c>
      <c r="H16" s="5" t="s">
        <v>136</v>
      </c>
      <c r="I16" s="5" t="s">
        <v>137</v>
      </c>
      <c r="J16" s="5" t="s">
        <v>138</v>
      </c>
    </row>
    <row r="17" customFormat="false" ht="108.95" hidden="false" customHeight="false" outlineLevel="0" collapsed="false">
      <c r="A17" s="13" t="s">
        <v>139</v>
      </c>
      <c r="B17" s="13" t="s">
        <v>19</v>
      </c>
      <c r="C17" s="13" t="s">
        <v>140</v>
      </c>
      <c r="D17" s="21" t="s">
        <v>141</v>
      </c>
      <c r="E17" s="9" t="s">
        <v>142</v>
      </c>
      <c r="F17" s="7" t="s">
        <v>143</v>
      </c>
      <c r="G17" s="5" t="s">
        <v>144</v>
      </c>
      <c r="H17" s="5" t="s">
        <v>145</v>
      </c>
      <c r="I17" s="5" t="s">
        <v>146</v>
      </c>
      <c r="J17" s="5" t="s">
        <v>147</v>
      </c>
    </row>
    <row r="18" customFormat="false" ht="95.5" hidden="false" customHeight="false" outlineLevel="0" collapsed="false">
      <c r="A18" s="2" t="s">
        <v>148</v>
      </c>
      <c r="B18" s="2" t="s">
        <v>29</v>
      </c>
      <c r="C18" s="2" t="s">
        <v>12</v>
      </c>
      <c r="D18" s="4" t="s">
        <v>149</v>
      </c>
      <c r="E18" s="4" t="s">
        <v>150</v>
      </c>
      <c r="F18" s="4" t="s">
        <v>151</v>
      </c>
      <c r="G18" s="5" t="s">
        <v>152</v>
      </c>
      <c r="H18" s="5" t="s">
        <v>153</v>
      </c>
      <c r="I18" s="5" t="s">
        <v>154</v>
      </c>
      <c r="J18" s="5" t="s">
        <v>155</v>
      </c>
    </row>
    <row r="19" customFormat="false" ht="15" hidden="false" customHeight="false" outlineLevel="0" collapsed="false">
      <c r="A19" s="2" t="s">
        <v>156</v>
      </c>
      <c r="B19" s="2" t="s">
        <v>39</v>
      </c>
      <c r="C19" s="2" t="s">
        <v>12</v>
      </c>
      <c r="D19" s="4" t="s">
        <v>157</v>
      </c>
      <c r="E19" s="3" t="s">
        <v>13</v>
      </c>
      <c r="F19" s="3" t="s">
        <v>13</v>
      </c>
      <c r="G19" s="5" t="s">
        <v>158</v>
      </c>
      <c r="H19" s="5" t="s">
        <v>13</v>
      </c>
      <c r="I19" s="5" t="s">
        <v>13</v>
      </c>
      <c r="J19" s="5" t="s">
        <v>13</v>
      </c>
    </row>
    <row r="21" customFormat="false" ht="15" hidden="false" customHeight="false" outlineLevel="0" collapsed="false">
      <c r="A21" s="22" t="s">
        <v>159</v>
      </c>
    </row>
    <row r="23" customFormat="false" ht="15" hidden="false" customHeight="false" outlineLevel="0" collapsed="false">
      <c r="C23" s="23" t="s">
        <v>160</v>
      </c>
    </row>
    <row r="24" customFormat="false" ht="15" hidden="false" customHeight="false" outlineLevel="0" collapsed="false">
      <c r="C24" s="24" t="s">
        <v>161</v>
      </c>
      <c r="D24" s="25" t="s">
        <v>162</v>
      </c>
    </row>
    <row r="25" customFormat="false" ht="28.35" hidden="false" customHeight="false" outlineLevel="0" collapsed="false">
      <c r="C25" s="26" t="s">
        <v>163</v>
      </c>
      <c r="D25" s="25" t="s">
        <v>164</v>
      </c>
    </row>
    <row r="26" customFormat="false" ht="15" hidden="false" customHeight="false" outlineLevel="0" collapsed="false">
      <c r="C26" s="27" t="s">
        <v>165</v>
      </c>
      <c r="D26" s="25" t="s">
        <v>166</v>
      </c>
    </row>
    <row r="27" customFormat="false" ht="28.35" hidden="false" customHeight="false" outlineLevel="0" collapsed="false">
      <c r="C27" s="28" t="s">
        <v>167</v>
      </c>
      <c r="D27" s="25" t="s">
        <v>168</v>
      </c>
    </row>
    <row r="28" customFormat="false" ht="15" hidden="false" customHeight="false" outlineLevel="0" collapsed="false">
      <c r="C28" s="29" t="s">
        <v>169</v>
      </c>
      <c r="D28" s="25" t="s">
        <v>170</v>
      </c>
    </row>
    <row r="29" customFormat="false" ht="28.35" hidden="false" customHeight="false" outlineLevel="0" collapsed="false">
      <c r="C29" s="30" t="s">
        <v>171</v>
      </c>
      <c r="D29" s="25" t="s">
        <v>172</v>
      </c>
    </row>
    <row r="30" customFormat="false" ht="41.75" hidden="false" customHeight="false" outlineLevel="0" collapsed="false">
      <c r="C30" s="31" t="s">
        <v>173</v>
      </c>
      <c r="D30" s="25" t="s">
        <v>174</v>
      </c>
    </row>
    <row r="31" customFormat="false" ht="15" hidden="false" customHeight="false" outlineLevel="0" collapsed="false">
      <c r="C31" s="32" t="s">
        <v>175</v>
      </c>
      <c r="D31" s="25" t="s">
        <v>176</v>
      </c>
    </row>
  </sheetData>
  <autoFilter ref="A1:J1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32"/>
    <col collapsed="false" customWidth="true" hidden="false" outlineLevel="0" max="3" min="3" style="0" width="40"/>
    <col collapsed="false" customWidth="true" hidden="false" outlineLevel="0" max="4" min="4" style="0" width="36"/>
    <col collapsed="false" customWidth="true" hidden="false" outlineLevel="0" max="5" min="5" style="0" width="16"/>
    <col collapsed="false" customWidth="true" hidden="false" outlineLevel="0" max="6" min="6" style="0" width="24"/>
    <col collapsed="false" customWidth="true" hidden="false" outlineLevel="0" max="7" min="7" style="0" width="28"/>
    <col collapsed="false" customWidth="true" hidden="false" outlineLevel="0" max="8" min="8" style="0" width="30"/>
    <col collapsed="false" customWidth="true" hidden="false" outlineLevel="0" max="9" min="9" style="0" width="45"/>
    <col collapsed="false" customWidth="true" hidden="false" outlineLevel="0" max="10" min="10" style="0" width="40"/>
    <col collapsed="false" customWidth="true" hidden="false" outlineLevel="0" max="11" min="11" style="0" width="14"/>
    <col collapsed="false" customWidth="true" hidden="false" outlineLevel="0" max="12" min="12" style="0" width="30"/>
  </cols>
  <sheetData>
    <row r="1" customFormat="false" ht="31.5" hidden="false" customHeight="true" outlineLevel="0" collapsed="false">
      <c r="A1" s="1" t="s">
        <v>177</v>
      </c>
      <c r="B1" s="1" t="s">
        <v>178</v>
      </c>
      <c r="C1" s="1" t="s">
        <v>179</v>
      </c>
      <c r="D1" s="1" t="s">
        <v>180</v>
      </c>
      <c r="E1" s="1" t="s">
        <v>181</v>
      </c>
      <c r="F1" s="1" t="s">
        <v>182</v>
      </c>
      <c r="G1" s="1" t="s">
        <v>183</v>
      </c>
      <c r="H1" s="1" t="s">
        <v>184</v>
      </c>
      <c r="I1" s="1" t="s">
        <v>185</v>
      </c>
      <c r="J1" s="1" t="s">
        <v>186</v>
      </c>
      <c r="K1" s="1" t="s">
        <v>187</v>
      </c>
      <c r="L1" s="1" t="s">
        <v>188</v>
      </c>
    </row>
    <row r="2" customFormat="false" ht="55.2" hidden="false" customHeight="false" outlineLevel="0" collapsed="false">
      <c r="A2" s="5" t="s">
        <v>189</v>
      </c>
      <c r="B2" s="5" t="s">
        <v>190</v>
      </c>
      <c r="C2" s="5" t="s">
        <v>191</v>
      </c>
      <c r="D2" s="5" t="s">
        <v>192</v>
      </c>
      <c r="E2" s="5" t="s">
        <v>35</v>
      </c>
      <c r="F2" s="5" t="s">
        <v>193</v>
      </c>
      <c r="G2" s="5" t="s">
        <v>194</v>
      </c>
      <c r="H2" s="5" t="s">
        <v>195</v>
      </c>
      <c r="I2" s="5" t="s">
        <v>196</v>
      </c>
      <c r="J2" s="5" t="s">
        <v>197</v>
      </c>
      <c r="K2" s="33" t="s">
        <v>198</v>
      </c>
      <c r="L2" s="5" t="s">
        <v>199</v>
      </c>
    </row>
    <row r="3" customFormat="false" ht="95.5" hidden="false" customHeight="false" outlineLevel="0" collapsed="false">
      <c r="A3" s="5" t="s">
        <v>200</v>
      </c>
      <c r="B3" s="5" t="s">
        <v>201</v>
      </c>
      <c r="C3" s="5" t="s">
        <v>202</v>
      </c>
      <c r="D3" s="5" t="s">
        <v>203</v>
      </c>
      <c r="E3" s="5" t="s">
        <v>44</v>
      </c>
      <c r="F3" s="5" t="s">
        <v>204</v>
      </c>
      <c r="G3" s="5" t="s">
        <v>194</v>
      </c>
      <c r="H3" s="5" t="s">
        <v>13</v>
      </c>
      <c r="I3" s="5" t="s">
        <v>205</v>
      </c>
      <c r="J3" s="5" t="s">
        <v>206</v>
      </c>
      <c r="K3" s="33" t="s">
        <v>207</v>
      </c>
      <c r="L3" s="5" t="s">
        <v>208</v>
      </c>
    </row>
    <row r="4" customFormat="false" ht="41.75" hidden="false" customHeight="false" outlineLevel="0" collapsed="false">
      <c r="A4" s="5" t="s">
        <v>209</v>
      </c>
      <c r="B4" s="5" t="s">
        <v>210</v>
      </c>
      <c r="C4" s="5" t="s">
        <v>211</v>
      </c>
      <c r="D4" s="5" t="s">
        <v>212</v>
      </c>
      <c r="E4" s="5" t="s">
        <v>44</v>
      </c>
      <c r="F4" s="5" t="s">
        <v>213</v>
      </c>
      <c r="G4" s="5" t="s">
        <v>214</v>
      </c>
      <c r="H4" s="5" t="s">
        <v>215</v>
      </c>
      <c r="I4" s="5" t="s">
        <v>216</v>
      </c>
      <c r="J4" s="5" t="s">
        <v>217</v>
      </c>
      <c r="K4" s="33" t="s">
        <v>198</v>
      </c>
      <c r="L4" s="5" t="s">
        <v>218</v>
      </c>
    </row>
    <row r="5" customFormat="false" ht="28.35" hidden="false" customHeight="false" outlineLevel="0" collapsed="false">
      <c r="A5" s="5" t="s">
        <v>219</v>
      </c>
      <c r="B5" s="5" t="s">
        <v>220</v>
      </c>
      <c r="C5" s="5" t="s">
        <v>221</v>
      </c>
      <c r="D5" s="5" t="s">
        <v>222</v>
      </c>
      <c r="E5" s="5" t="s">
        <v>62</v>
      </c>
      <c r="F5" s="5" t="s">
        <v>223</v>
      </c>
      <c r="G5" s="5" t="s">
        <v>224</v>
      </c>
      <c r="H5" s="5" t="s">
        <v>225</v>
      </c>
      <c r="I5" s="5" t="s">
        <v>226</v>
      </c>
      <c r="J5" s="5" t="s">
        <v>227</v>
      </c>
      <c r="K5" s="33" t="s">
        <v>198</v>
      </c>
      <c r="L5" s="5" t="s">
        <v>228</v>
      </c>
    </row>
    <row r="6" customFormat="false" ht="68.65" hidden="false" customHeight="false" outlineLevel="0" collapsed="false">
      <c r="A6" s="5" t="s">
        <v>229</v>
      </c>
      <c r="B6" s="5" t="s">
        <v>230</v>
      </c>
      <c r="C6" s="5" t="s">
        <v>231</v>
      </c>
      <c r="D6" s="5" t="s">
        <v>232</v>
      </c>
      <c r="E6" s="5" t="s">
        <v>233</v>
      </c>
      <c r="F6" s="5" t="s">
        <v>234</v>
      </c>
      <c r="G6" s="5" t="s">
        <v>235</v>
      </c>
      <c r="H6" s="5" t="s">
        <v>236</v>
      </c>
      <c r="I6" s="5" t="s">
        <v>237</v>
      </c>
      <c r="J6" s="5" t="s">
        <v>238</v>
      </c>
      <c r="K6" s="33" t="s">
        <v>198</v>
      </c>
      <c r="L6" s="5" t="s">
        <v>239</v>
      </c>
    </row>
    <row r="7" customFormat="false" ht="28.35" hidden="false" customHeight="false" outlineLevel="0" collapsed="false">
      <c r="A7" s="5" t="s">
        <v>240</v>
      </c>
      <c r="B7" s="5" t="s">
        <v>241</v>
      </c>
      <c r="C7" s="5" t="s">
        <v>242</v>
      </c>
      <c r="D7" s="5" t="s">
        <v>232</v>
      </c>
      <c r="E7" s="5" t="s">
        <v>233</v>
      </c>
      <c r="F7" s="5" t="s">
        <v>194</v>
      </c>
      <c r="G7" s="5" t="s">
        <v>194</v>
      </c>
      <c r="H7" s="5" t="s">
        <v>243</v>
      </c>
      <c r="I7" s="5" t="s">
        <v>13</v>
      </c>
      <c r="J7" s="5" t="s">
        <v>244</v>
      </c>
      <c r="K7" s="33" t="s">
        <v>198</v>
      </c>
      <c r="L7" s="5" t="s">
        <v>245</v>
      </c>
    </row>
    <row r="8" customFormat="false" ht="41.75" hidden="false" customHeight="false" outlineLevel="0" collapsed="false">
      <c r="A8" s="5" t="s">
        <v>246</v>
      </c>
      <c r="B8" s="5" t="s">
        <v>247</v>
      </c>
      <c r="C8" s="5" t="s">
        <v>248</v>
      </c>
      <c r="D8" s="5" t="s">
        <v>249</v>
      </c>
      <c r="E8" s="5" t="s">
        <v>250</v>
      </c>
      <c r="F8" s="5" t="s">
        <v>251</v>
      </c>
      <c r="G8" s="5" t="s">
        <v>252</v>
      </c>
      <c r="H8" s="5" t="s">
        <v>253</v>
      </c>
      <c r="I8" s="5" t="s">
        <v>13</v>
      </c>
      <c r="J8" s="5" t="s">
        <v>254</v>
      </c>
      <c r="K8" s="33" t="s">
        <v>198</v>
      </c>
      <c r="L8" s="5" t="s">
        <v>255</v>
      </c>
    </row>
    <row r="9" customFormat="false" ht="41.75" hidden="false" customHeight="false" outlineLevel="0" collapsed="false">
      <c r="A9" s="5" t="s">
        <v>256</v>
      </c>
      <c r="B9" s="5" t="s">
        <v>257</v>
      </c>
      <c r="C9" s="5" t="s">
        <v>258</v>
      </c>
      <c r="D9" s="5" t="s">
        <v>259</v>
      </c>
      <c r="E9" s="5" t="s">
        <v>35</v>
      </c>
      <c r="F9" s="5" t="s">
        <v>260</v>
      </c>
      <c r="G9" s="5" t="s">
        <v>261</v>
      </c>
      <c r="H9" s="5" t="s">
        <v>262</v>
      </c>
      <c r="I9" s="5" t="s">
        <v>13</v>
      </c>
      <c r="J9" s="5" t="s">
        <v>263</v>
      </c>
      <c r="K9" s="33" t="s">
        <v>198</v>
      </c>
      <c r="L9" s="5" t="s">
        <v>264</v>
      </c>
    </row>
    <row r="10" customFormat="false" ht="41.75" hidden="false" customHeight="false" outlineLevel="0" collapsed="false">
      <c r="A10" s="5" t="s">
        <v>265</v>
      </c>
      <c r="B10" s="5" t="s">
        <v>266</v>
      </c>
      <c r="C10" s="5" t="s">
        <v>267</v>
      </c>
      <c r="D10" s="5" t="s">
        <v>268</v>
      </c>
      <c r="E10" s="5" t="s">
        <v>62</v>
      </c>
      <c r="F10" s="5" t="s">
        <v>194</v>
      </c>
      <c r="G10" s="5" t="s">
        <v>194</v>
      </c>
      <c r="H10" s="5" t="s">
        <v>269</v>
      </c>
      <c r="I10" s="5" t="s">
        <v>270</v>
      </c>
      <c r="J10" s="5" t="s">
        <v>271</v>
      </c>
      <c r="K10" s="33" t="s">
        <v>198</v>
      </c>
      <c r="L10" s="5" t="s">
        <v>272</v>
      </c>
    </row>
    <row r="11" customFormat="false" ht="55.2" hidden="false" customHeight="false" outlineLevel="0" collapsed="false">
      <c r="A11" s="5" t="s">
        <v>273</v>
      </c>
      <c r="B11" s="5" t="s">
        <v>274</v>
      </c>
      <c r="C11" s="5" t="s">
        <v>275</v>
      </c>
      <c r="D11" s="5" t="s">
        <v>276</v>
      </c>
      <c r="E11" s="5" t="s">
        <v>35</v>
      </c>
      <c r="F11" s="5" t="s">
        <v>277</v>
      </c>
      <c r="G11" s="5" t="s">
        <v>278</v>
      </c>
      <c r="H11" s="5" t="s">
        <v>279</v>
      </c>
      <c r="I11" s="5" t="s">
        <v>280</v>
      </c>
      <c r="J11" s="5" t="s">
        <v>281</v>
      </c>
      <c r="K11" s="34" t="s">
        <v>282</v>
      </c>
      <c r="L11" s="5" t="s">
        <v>283</v>
      </c>
    </row>
    <row r="12" customFormat="false" ht="55.2" hidden="false" customHeight="false" outlineLevel="0" collapsed="false">
      <c r="A12" s="5" t="s">
        <v>284</v>
      </c>
      <c r="B12" s="5" t="s">
        <v>285</v>
      </c>
      <c r="C12" s="5" t="s">
        <v>286</v>
      </c>
      <c r="D12" s="5" t="s">
        <v>287</v>
      </c>
      <c r="E12" s="5" t="s">
        <v>288</v>
      </c>
      <c r="F12" s="5" t="s">
        <v>289</v>
      </c>
      <c r="G12" s="5" t="s">
        <v>290</v>
      </c>
      <c r="H12" s="5" t="s">
        <v>291</v>
      </c>
      <c r="I12" s="5" t="s">
        <v>292</v>
      </c>
      <c r="J12" s="5" t="s">
        <v>293</v>
      </c>
      <c r="K12" s="34" t="s">
        <v>282</v>
      </c>
      <c r="L12" s="5" t="s">
        <v>294</v>
      </c>
    </row>
    <row r="13" customFormat="false" ht="41.75" hidden="false" customHeight="false" outlineLevel="0" collapsed="false">
      <c r="A13" s="5" t="s">
        <v>295</v>
      </c>
      <c r="B13" s="5" t="s">
        <v>296</v>
      </c>
      <c r="C13" s="5" t="s">
        <v>297</v>
      </c>
      <c r="D13" s="5" t="s">
        <v>298</v>
      </c>
      <c r="E13" s="5" t="s">
        <v>35</v>
      </c>
      <c r="F13" s="5" t="s">
        <v>299</v>
      </c>
      <c r="G13" s="5" t="s">
        <v>13</v>
      </c>
      <c r="H13" s="5" t="s">
        <v>300</v>
      </c>
      <c r="I13" s="5" t="s">
        <v>301</v>
      </c>
      <c r="J13" s="5" t="s">
        <v>302</v>
      </c>
      <c r="K13" s="34" t="s">
        <v>282</v>
      </c>
      <c r="L13" s="5" t="s">
        <v>303</v>
      </c>
    </row>
    <row r="14" customFormat="false" ht="55.2" hidden="false" customHeight="false" outlineLevel="0" collapsed="false">
      <c r="A14" s="5" t="s">
        <v>304</v>
      </c>
      <c r="B14" s="5" t="s">
        <v>305</v>
      </c>
      <c r="C14" s="5" t="s">
        <v>306</v>
      </c>
      <c r="D14" s="5" t="s">
        <v>307</v>
      </c>
      <c r="E14" s="5" t="s">
        <v>35</v>
      </c>
      <c r="F14" s="5" t="s">
        <v>308</v>
      </c>
      <c r="G14" s="5" t="s">
        <v>309</v>
      </c>
      <c r="H14" s="5" t="s">
        <v>310</v>
      </c>
      <c r="I14" s="5" t="s">
        <v>13</v>
      </c>
      <c r="J14" s="5" t="s">
        <v>311</v>
      </c>
      <c r="K14" s="34" t="s">
        <v>282</v>
      </c>
      <c r="L14" s="5" t="s">
        <v>312</v>
      </c>
    </row>
    <row r="15" customFormat="false" ht="28.35" hidden="false" customHeight="false" outlineLevel="0" collapsed="false">
      <c r="A15" s="5" t="s">
        <v>313</v>
      </c>
      <c r="B15" s="5" t="s">
        <v>314</v>
      </c>
      <c r="C15" s="5" t="s">
        <v>315</v>
      </c>
      <c r="D15" s="5" t="s">
        <v>316</v>
      </c>
      <c r="E15" s="5" t="s">
        <v>317</v>
      </c>
      <c r="F15" s="5" t="s">
        <v>318</v>
      </c>
      <c r="G15" s="5" t="s">
        <v>319</v>
      </c>
      <c r="H15" s="5" t="s">
        <v>320</v>
      </c>
      <c r="I15" s="5" t="s">
        <v>13</v>
      </c>
      <c r="J15" s="5" t="s">
        <v>321</v>
      </c>
      <c r="K15" s="34" t="s">
        <v>282</v>
      </c>
      <c r="L15" s="5" t="s">
        <v>322</v>
      </c>
    </row>
    <row r="16" customFormat="false" ht="68.65" hidden="false" customHeight="false" outlineLevel="0" collapsed="false">
      <c r="A16" s="5" t="s">
        <v>323</v>
      </c>
      <c r="B16" s="5" t="s">
        <v>324</v>
      </c>
      <c r="C16" s="5" t="s">
        <v>325</v>
      </c>
      <c r="D16" s="5" t="s">
        <v>326</v>
      </c>
      <c r="E16" s="5" t="s">
        <v>327</v>
      </c>
      <c r="F16" s="5" t="s">
        <v>328</v>
      </c>
      <c r="G16" s="5" t="s">
        <v>329</v>
      </c>
      <c r="H16" s="5" t="s">
        <v>330</v>
      </c>
      <c r="I16" s="5" t="s">
        <v>331</v>
      </c>
      <c r="J16" s="5" t="s">
        <v>332</v>
      </c>
      <c r="K16" s="34" t="s">
        <v>282</v>
      </c>
      <c r="L16" s="5" t="s">
        <v>333</v>
      </c>
    </row>
    <row r="17" customFormat="false" ht="28.35" hidden="false" customHeight="false" outlineLevel="0" collapsed="false">
      <c r="A17" s="5" t="s">
        <v>334</v>
      </c>
      <c r="B17" s="5" t="s">
        <v>335</v>
      </c>
      <c r="C17" s="5" t="s">
        <v>336</v>
      </c>
      <c r="D17" s="5" t="s">
        <v>337</v>
      </c>
      <c r="E17" s="5" t="s">
        <v>338</v>
      </c>
      <c r="F17" s="5" t="s">
        <v>339</v>
      </c>
      <c r="G17" s="5" t="s">
        <v>340</v>
      </c>
      <c r="H17" s="5" t="s">
        <v>341</v>
      </c>
      <c r="I17" s="5" t="s">
        <v>13</v>
      </c>
      <c r="J17" s="5" t="s">
        <v>342</v>
      </c>
      <c r="K17" s="35" t="s">
        <v>343</v>
      </c>
      <c r="L17" s="5" t="s">
        <v>322</v>
      </c>
    </row>
    <row r="18" customFormat="false" ht="41.75" hidden="false" customHeight="false" outlineLevel="0" collapsed="false">
      <c r="A18" s="5" t="s">
        <v>344</v>
      </c>
      <c r="B18" s="5" t="s">
        <v>345</v>
      </c>
      <c r="C18" s="5" t="s">
        <v>346</v>
      </c>
      <c r="D18" s="5" t="s">
        <v>347</v>
      </c>
      <c r="E18" s="5" t="s">
        <v>338</v>
      </c>
      <c r="F18" s="5" t="s">
        <v>348</v>
      </c>
      <c r="G18" s="5" t="s">
        <v>194</v>
      </c>
      <c r="H18" s="5" t="s">
        <v>13</v>
      </c>
      <c r="I18" s="5" t="s">
        <v>13</v>
      </c>
      <c r="J18" s="5" t="s">
        <v>13</v>
      </c>
      <c r="K18" s="35" t="s">
        <v>343</v>
      </c>
      <c r="L18" s="5" t="s">
        <v>349</v>
      </c>
    </row>
    <row r="19" customFormat="false" ht="55.2" hidden="false" customHeight="false" outlineLevel="0" collapsed="false">
      <c r="A19" s="5" t="s">
        <v>350</v>
      </c>
      <c r="B19" s="5" t="s">
        <v>351</v>
      </c>
      <c r="C19" s="5" t="s">
        <v>352</v>
      </c>
      <c r="D19" s="5" t="s">
        <v>353</v>
      </c>
      <c r="E19" s="5" t="s">
        <v>250</v>
      </c>
      <c r="F19" s="5" t="s">
        <v>354</v>
      </c>
      <c r="G19" s="5" t="s">
        <v>308</v>
      </c>
      <c r="H19" s="5" t="s">
        <v>308</v>
      </c>
      <c r="I19" s="5" t="s">
        <v>13</v>
      </c>
      <c r="J19" s="5" t="s">
        <v>355</v>
      </c>
      <c r="K19" s="34" t="s">
        <v>198</v>
      </c>
      <c r="L19" s="5" t="s">
        <v>356</v>
      </c>
    </row>
    <row r="20" customFormat="false" ht="28.35" hidden="false" customHeight="false" outlineLevel="0" collapsed="false">
      <c r="A20" s="5" t="s">
        <v>357</v>
      </c>
      <c r="B20" s="5" t="s">
        <v>358</v>
      </c>
      <c r="C20" s="5" t="s">
        <v>359</v>
      </c>
      <c r="D20" s="5" t="s">
        <v>360</v>
      </c>
      <c r="E20" s="5" t="s">
        <v>62</v>
      </c>
      <c r="F20" s="5" t="s">
        <v>361</v>
      </c>
      <c r="G20" s="5" t="s">
        <v>194</v>
      </c>
      <c r="H20" s="5" t="s">
        <v>362</v>
      </c>
      <c r="I20" s="5" t="s">
        <v>13</v>
      </c>
      <c r="J20" s="5" t="s">
        <v>363</v>
      </c>
      <c r="K20" s="34" t="s">
        <v>282</v>
      </c>
      <c r="L20" s="5" t="s">
        <v>322</v>
      </c>
    </row>
    <row r="21" customFormat="false" ht="28.35" hidden="false" customHeight="false" outlineLevel="0" collapsed="false">
      <c r="A21" s="5" t="s">
        <v>364</v>
      </c>
      <c r="B21" s="5" t="s">
        <v>365</v>
      </c>
      <c r="C21" s="5" t="s">
        <v>366</v>
      </c>
      <c r="D21" s="5" t="s">
        <v>13</v>
      </c>
      <c r="E21" s="5" t="s">
        <v>13</v>
      </c>
      <c r="F21" s="5" t="s">
        <v>13</v>
      </c>
      <c r="G21" s="5" t="s">
        <v>13</v>
      </c>
      <c r="H21" s="5" t="s">
        <v>13</v>
      </c>
      <c r="I21" s="5" t="s">
        <v>13</v>
      </c>
      <c r="J21" s="5" t="s">
        <v>13</v>
      </c>
      <c r="K21" s="35" t="s">
        <v>343</v>
      </c>
      <c r="L21" s="5" t="s">
        <v>367</v>
      </c>
    </row>
    <row r="22" customFormat="false" ht="55.2" hidden="false" customHeight="false" outlineLevel="0" collapsed="false">
      <c r="A22" s="5" t="s">
        <v>368</v>
      </c>
      <c r="B22" s="5" t="s">
        <v>369</v>
      </c>
      <c r="C22" s="5" t="s">
        <v>370</v>
      </c>
      <c r="D22" s="5" t="s">
        <v>371</v>
      </c>
      <c r="E22" s="5" t="s">
        <v>372</v>
      </c>
      <c r="F22" s="5" t="s">
        <v>373</v>
      </c>
      <c r="G22" s="5" t="s">
        <v>194</v>
      </c>
      <c r="H22" s="5" t="s">
        <v>374</v>
      </c>
      <c r="I22" s="5" t="s">
        <v>13</v>
      </c>
      <c r="J22" s="5" t="s">
        <v>375</v>
      </c>
      <c r="K22" s="35" t="s">
        <v>198</v>
      </c>
      <c r="L22" s="5" t="s">
        <v>376</v>
      </c>
    </row>
  </sheetData>
  <autoFilter ref="A1:L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8"/>
    <col collapsed="false" customWidth="true" hidden="false" outlineLevel="0" max="3" min="3" style="0" width="38"/>
    <col collapsed="false" customWidth="true" hidden="false" outlineLevel="0" max="4" min="4" style="0" width="26"/>
    <col collapsed="false" customWidth="true" hidden="false" outlineLevel="0" max="5" min="5" style="0" width="18"/>
    <col collapsed="false" customWidth="true" hidden="false" outlineLevel="0" max="6" min="6" style="0" width="32"/>
    <col collapsed="false" customWidth="true" hidden="false" outlineLevel="0" max="7" min="7" style="0" width="60"/>
    <col collapsed="false" customWidth="true" hidden="false" outlineLevel="0" max="8" min="8" style="0" width="28"/>
    <col collapsed="false" customWidth="true" hidden="false" outlineLevel="0" max="9" min="9" style="0" width="18"/>
    <col collapsed="false" customWidth="true" hidden="false" outlineLevel="0" max="10" min="10" style="0" width="45"/>
  </cols>
  <sheetData>
    <row r="1" customFormat="false" ht="31.5" hidden="false" customHeight="true" outlineLevel="0" collapsed="false">
      <c r="A1" s="1" t="s">
        <v>377</v>
      </c>
      <c r="B1" s="1" t="s">
        <v>378</v>
      </c>
      <c r="C1" s="1" t="s">
        <v>180</v>
      </c>
      <c r="D1" s="1" t="s">
        <v>379</v>
      </c>
      <c r="E1" s="1" t="s">
        <v>181</v>
      </c>
      <c r="F1" s="1" t="s">
        <v>184</v>
      </c>
      <c r="G1" s="1" t="s">
        <v>380</v>
      </c>
      <c r="H1" s="1" t="s">
        <v>188</v>
      </c>
      <c r="I1" s="1" t="s">
        <v>381</v>
      </c>
      <c r="J1" s="1" t="s">
        <v>382</v>
      </c>
    </row>
    <row r="2" customFormat="false" ht="68.65" hidden="false" customHeight="false" outlineLevel="0" collapsed="false">
      <c r="A2" s="5" t="s">
        <v>383</v>
      </c>
      <c r="B2" s="5" t="s">
        <v>384</v>
      </c>
      <c r="C2" s="5" t="s">
        <v>385</v>
      </c>
      <c r="D2" s="5" t="s">
        <v>386</v>
      </c>
      <c r="E2" s="5" t="s">
        <v>387</v>
      </c>
      <c r="F2" s="5" t="s">
        <v>388</v>
      </c>
      <c r="G2" s="5" t="s">
        <v>389</v>
      </c>
      <c r="H2" s="5" t="s">
        <v>80</v>
      </c>
      <c r="I2" s="5" t="s">
        <v>390</v>
      </c>
      <c r="J2" s="5" t="s">
        <v>391</v>
      </c>
    </row>
    <row r="3" customFormat="false" ht="41.75" hidden="false" customHeight="false" outlineLevel="0" collapsed="false">
      <c r="A3" s="5" t="s">
        <v>383</v>
      </c>
      <c r="B3" s="5" t="s">
        <v>392</v>
      </c>
      <c r="C3" s="5" t="s">
        <v>393</v>
      </c>
      <c r="D3" s="5" t="s">
        <v>394</v>
      </c>
      <c r="E3" s="5" t="s">
        <v>387</v>
      </c>
      <c r="F3" s="5" t="s">
        <v>395</v>
      </c>
      <c r="G3" s="5" t="s">
        <v>396</v>
      </c>
      <c r="H3" s="5" t="s">
        <v>106</v>
      </c>
      <c r="I3" s="5" t="s">
        <v>390</v>
      </c>
      <c r="J3" s="5" t="s">
        <v>397</v>
      </c>
    </row>
    <row r="4" customFormat="false" ht="41.75" hidden="false" customHeight="false" outlineLevel="0" collapsed="false">
      <c r="A4" s="5" t="s">
        <v>398</v>
      </c>
      <c r="B4" s="5" t="s">
        <v>399</v>
      </c>
      <c r="C4" s="5" t="s">
        <v>400</v>
      </c>
      <c r="D4" s="5" t="s">
        <v>401</v>
      </c>
      <c r="E4" s="5" t="s">
        <v>402</v>
      </c>
      <c r="F4" s="5" t="s">
        <v>403</v>
      </c>
      <c r="G4" s="5" t="s">
        <v>404</v>
      </c>
      <c r="H4" s="5" t="s">
        <v>405</v>
      </c>
      <c r="I4" s="5" t="s">
        <v>390</v>
      </c>
      <c r="J4" s="5" t="s">
        <v>406</v>
      </c>
    </row>
    <row r="5" customFormat="false" ht="28.35" hidden="false" customHeight="false" outlineLevel="0" collapsed="false">
      <c r="A5" s="5" t="s">
        <v>407</v>
      </c>
      <c r="B5" s="5" t="s">
        <v>408</v>
      </c>
      <c r="C5" s="5" t="s">
        <v>409</v>
      </c>
      <c r="D5" s="5" t="s">
        <v>410</v>
      </c>
      <c r="E5" s="5" t="s">
        <v>119</v>
      </c>
      <c r="F5" s="5" t="s">
        <v>308</v>
      </c>
      <c r="G5" s="5" t="s">
        <v>411</v>
      </c>
      <c r="H5" s="5" t="s">
        <v>47</v>
      </c>
      <c r="I5" s="5" t="s">
        <v>412</v>
      </c>
      <c r="J5" s="5" t="s">
        <v>413</v>
      </c>
    </row>
    <row r="6" customFormat="false" ht="28.35" hidden="false" customHeight="false" outlineLevel="0" collapsed="false">
      <c r="A6" s="5" t="s">
        <v>414</v>
      </c>
      <c r="B6" s="5" t="s">
        <v>415</v>
      </c>
      <c r="C6" s="5" t="s">
        <v>385</v>
      </c>
      <c r="D6" s="5" t="s">
        <v>386</v>
      </c>
      <c r="E6" s="5" t="s">
        <v>233</v>
      </c>
      <c r="F6" s="5" t="s">
        <v>243</v>
      </c>
      <c r="G6" s="5" t="s">
        <v>416</v>
      </c>
      <c r="H6" s="5" t="s">
        <v>80</v>
      </c>
      <c r="I6" s="5" t="s">
        <v>390</v>
      </c>
      <c r="J6" s="5" t="s">
        <v>417</v>
      </c>
    </row>
    <row r="7" customFormat="false" ht="41.75" hidden="false" customHeight="false" outlineLevel="0" collapsed="false">
      <c r="A7" s="5" t="s">
        <v>418</v>
      </c>
      <c r="B7" s="5" t="s">
        <v>419</v>
      </c>
      <c r="C7" s="5" t="s">
        <v>420</v>
      </c>
      <c r="D7" s="5" t="s">
        <v>421</v>
      </c>
      <c r="E7" s="5" t="s">
        <v>422</v>
      </c>
      <c r="F7" s="5" t="s">
        <v>423</v>
      </c>
      <c r="G7" s="5" t="s">
        <v>424</v>
      </c>
      <c r="H7" s="5" t="s">
        <v>425</v>
      </c>
      <c r="I7" s="5" t="s">
        <v>390</v>
      </c>
      <c r="J7" s="5" t="s">
        <v>426</v>
      </c>
    </row>
    <row r="8" customFormat="false" ht="28.35" hidden="false" customHeight="false" outlineLevel="0" collapsed="false">
      <c r="A8" s="5" t="s">
        <v>427</v>
      </c>
      <c r="B8" s="5" t="s">
        <v>428</v>
      </c>
      <c r="C8" s="5" t="s">
        <v>429</v>
      </c>
      <c r="D8" s="5" t="s">
        <v>430</v>
      </c>
      <c r="E8" s="5" t="s">
        <v>431</v>
      </c>
      <c r="F8" s="5" t="s">
        <v>432</v>
      </c>
      <c r="G8" s="5" t="s">
        <v>433</v>
      </c>
      <c r="H8" s="5" t="s">
        <v>434</v>
      </c>
      <c r="I8" s="5" t="s">
        <v>390</v>
      </c>
      <c r="J8" s="5" t="s">
        <v>435</v>
      </c>
    </row>
    <row r="9" customFormat="false" ht="28.35" hidden="false" customHeight="false" outlineLevel="0" collapsed="false">
      <c r="A9" s="5" t="s">
        <v>436</v>
      </c>
      <c r="B9" s="5" t="s">
        <v>437</v>
      </c>
      <c r="C9" s="5" t="s">
        <v>438</v>
      </c>
      <c r="D9" s="5" t="s">
        <v>439</v>
      </c>
      <c r="E9" s="5" t="s">
        <v>62</v>
      </c>
      <c r="F9" s="5" t="s">
        <v>440</v>
      </c>
      <c r="G9" s="5" t="s">
        <v>441</v>
      </c>
      <c r="H9" s="5" t="s">
        <v>442</v>
      </c>
      <c r="I9" s="5" t="s">
        <v>390</v>
      </c>
      <c r="J9" s="5" t="s">
        <v>443</v>
      </c>
    </row>
    <row r="10" customFormat="false" ht="28.35" hidden="false" customHeight="false" outlineLevel="0" collapsed="false">
      <c r="A10" s="5" t="s">
        <v>444</v>
      </c>
      <c r="B10" s="5" t="s">
        <v>357</v>
      </c>
      <c r="C10" s="5" t="s">
        <v>360</v>
      </c>
      <c r="D10" s="5" t="s">
        <v>445</v>
      </c>
      <c r="E10" s="5" t="s">
        <v>62</v>
      </c>
      <c r="F10" s="5" t="s">
        <v>446</v>
      </c>
      <c r="G10" s="5" t="s">
        <v>447</v>
      </c>
      <c r="H10" s="5" t="s">
        <v>322</v>
      </c>
      <c r="I10" s="5" t="s">
        <v>390</v>
      </c>
      <c r="J10" s="5" t="s">
        <v>363</v>
      </c>
    </row>
    <row r="11" customFormat="false" ht="28.35" hidden="false" customHeight="false" outlineLevel="0" collapsed="false">
      <c r="A11" s="5" t="s">
        <v>448</v>
      </c>
      <c r="B11" s="5" t="s">
        <v>449</v>
      </c>
      <c r="C11" s="5" t="s">
        <v>450</v>
      </c>
      <c r="D11" s="5" t="s">
        <v>451</v>
      </c>
      <c r="E11" s="5" t="s">
        <v>452</v>
      </c>
      <c r="F11" s="5" t="s">
        <v>453</v>
      </c>
      <c r="G11" s="5" t="s">
        <v>454</v>
      </c>
      <c r="H11" s="5" t="s">
        <v>376</v>
      </c>
      <c r="I11" s="5" t="s">
        <v>390</v>
      </c>
      <c r="J11" s="5" t="s">
        <v>455</v>
      </c>
    </row>
    <row r="12" customFormat="false" ht="28.35" hidden="false" customHeight="false" outlineLevel="0" collapsed="false">
      <c r="A12" s="5" t="s">
        <v>456</v>
      </c>
      <c r="B12" s="5" t="s">
        <v>457</v>
      </c>
      <c r="C12" s="5" t="s">
        <v>458</v>
      </c>
      <c r="D12" s="5" t="s">
        <v>386</v>
      </c>
      <c r="E12" s="5" t="s">
        <v>233</v>
      </c>
      <c r="F12" s="5" t="s">
        <v>453</v>
      </c>
      <c r="G12" s="5" t="s">
        <v>459</v>
      </c>
      <c r="H12" s="5" t="s">
        <v>322</v>
      </c>
      <c r="I12" s="5" t="s">
        <v>390</v>
      </c>
      <c r="J12" s="5" t="s">
        <v>460</v>
      </c>
    </row>
    <row r="13" customFormat="false" ht="28.35" hidden="false" customHeight="false" outlineLevel="0" collapsed="false">
      <c r="A13" s="5" t="s">
        <v>461</v>
      </c>
      <c r="B13" s="5" t="s">
        <v>462</v>
      </c>
      <c r="C13" s="5" t="s">
        <v>463</v>
      </c>
      <c r="D13" s="5" t="s">
        <v>394</v>
      </c>
      <c r="E13" s="5" t="s">
        <v>464</v>
      </c>
      <c r="F13" s="5" t="s">
        <v>465</v>
      </c>
      <c r="G13" s="5" t="s">
        <v>466</v>
      </c>
      <c r="H13" s="5" t="s">
        <v>106</v>
      </c>
      <c r="I13" s="5" t="s">
        <v>390</v>
      </c>
      <c r="J13" s="5" t="s">
        <v>467</v>
      </c>
    </row>
    <row r="14" customFormat="false" ht="41.75" hidden="false" customHeight="false" outlineLevel="0" collapsed="false">
      <c r="A14" s="5" t="s">
        <v>468</v>
      </c>
      <c r="B14" s="5" t="s">
        <v>469</v>
      </c>
      <c r="C14" s="5" t="s">
        <v>470</v>
      </c>
      <c r="D14" s="5" t="s">
        <v>471</v>
      </c>
      <c r="E14" s="5" t="s">
        <v>372</v>
      </c>
      <c r="F14" s="5" t="s">
        <v>472</v>
      </c>
      <c r="G14" s="5" t="s">
        <v>473</v>
      </c>
      <c r="H14" s="5" t="s">
        <v>376</v>
      </c>
      <c r="I14" s="5" t="s">
        <v>390</v>
      </c>
      <c r="J14" s="5" t="s">
        <v>474</v>
      </c>
    </row>
    <row r="15" customFormat="false" ht="41.75" hidden="false" customHeight="false" outlineLevel="0" collapsed="false">
      <c r="A15" s="5" t="s">
        <v>475</v>
      </c>
      <c r="B15" s="5" t="s">
        <v>476</v>
      </c>
      <c r="C15" s="5" t="s">
        <v>477</v>
      </c>
      <c r="D15" s="5" t="s">
        <v>13</v>
      </c>
      <c r="E15" s="5" t="s">
        <v>13</v>
      </c>
      <c r="F15" s="5" t="s">
        <v>13</v>
      </c>
      <c r="G15" s="5" t="s">
        <v>478</v>
      </c>
      <c r="H15" s="5" t="s">
        <v>13</v>
      </c>
      <c r="I15" s="5" t="s">
        <v>479</v>
      </c>
      <c r="J15" s="5" t="s">
        <v>480</v>
      </c>
    </row>
    <row r="17" customFormat="false" ht="15" hidden="false" customHeight="false" outlineLevel="0" collapsed="false">
      <c r="A17" s="22" t="s">
        <v>481</v>
      </c>
    </row>
  </sheetData>
  <autoFilter ref="A1:J1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24"/>
    <col collapsed="false" customWidth="true" hidden="false" outlineLevel="0" max="3" min="3" style="0" width="80"/>
  </cols>
  <sheetData>
    <row r="1" customFormat="false" ht="17.35" hidden="false" customHeight="false" outlineLevel="0" collapsed="false">
      <c r="A1" s="36" t="s">
        <v>482</v>
      </c>
    </row>
    <row r="3" customFormat="false" ht="15" hidden="false" customHeight="false" outlineLevel="0" collapsed="false">
      <c r="A3" s="23" t="s">
        <v>483</v>
      </c>
    </row>
    <row r="4" customFormat="false" ht="31.5" hidden="false" customHeight="true" outlineLevel="0" collapsed="false">
      <c r="A4" s="25" t="s">
        <v>484</v>
      </c>
      <c r="B4" s="37" t="n">
        <v>2</v>
      </c>
      <c r="C4" s="25" t="s">
        <v>485</v>
      </c>
    </row>
    <row r="5" customFormat="false" ht="31.5" hidden="false" customHeight="true" outlineLevel="0" collapsed="false">
      <c r="A5" s="25" t="s">
        <v>486</v>
      </c>
      <c r="B5" s="38" t="n">
        <v>59</v>
      </c>
      <c r="C5" s="25" t="s">
        <v>487</v>
      </c>
    </row>
    <row r="6" customFormat="false" ht="31.5" hidden="false" customHeight="true" outlineLevel="0" collapsed="false">
      <c r="A6" s="25" t="s">
        <v>488</v>
      </c>
      <c r="B6" s="37" t="n">
        <v>0</v>
      </c>
      <c r="C6" s="25" t="s">
        <v>489</v>
      </c>
    </row>
    <row r="7" customFormat="false" ht="31.5" hidden="false" customHeight="true" outlineLevel="0" collapsed="false">
      <c r="A7" s="25" t="s">
        <v>490</v>
      </c>
      <c r="B7" s="38" t="n">
        <v>38</v>
      </c>
      <c r="C7" s="25" t="s">
        <v>491</v>
      </c>
    </row>
    <row r="8" customFormat="false" ht="31.5" hidden="false" customHeight="true" outlineLevel="0" collapsed="false">
      <c r="A8" s="25" t="s">
        <v>492</v>
      </c>
      <c r="B8" s="39" t="n">
        <v>0.065</v>
      </c>
      <c r="C8" s="25" t="s">
        <v>493</v>
      </c>
    </row>
    <row r="9" customFormat="false" ht="31.5" hidden="false" customHeight="true" outlineLevel="0" collapsed="false">
      <c r="A9" s="25" t="s">
        <v>494</v>
      </c>
      <c r="B9" s="39" t="n">
        <v>0.2</v>
      </c>
      <c r="C9" s="25" t="s">
        <v>495</v>
      </c>
    </row>
    <row r="10" customFormat="false" ht="31.5" hidden="false" customHeight="true" outlineLevel="0" collapsed="false">
      <c r="A10" s="25" t="s">
        <v>496</v>
      </c>
      <c r="B10" s="38" t="n">
        <v>0</v>
      </c>
      <c r="C10" s="25" t="s">
        <v>497</v>
      </c>
    </row>
    <row r="12" customFormat="false" ht="15" hidden="false" customHeight="false" outlineLevel="0" collapsed="false">
      <c r="A12" s="40" t="s">
        <v>498</v>
      </c>
      <c r="B12" s="41" t="n">
        <f aca="false">B4*B5+B6*B7</f>
        <v>118</v>
      </c>
    </row>
    <row r="13" customFormat="false" ht="15" hidden="false" customHeight="false" outlineLevel="0" collapsed="false">
      <c r="A13" s="40" t="s">
        <v>499</v>
      </c>
      <c r="B13" s="41" t="n">
        <f aca="false">B12*B8</f>
        <v>7.67</v>
      </c>
    </row>
    <row r="14" customFormat="false" ht="15" hidden="false" customHeight="false" outlineLevel="0" collapsed="false">
      <c r="A14" s="40" t="s">
        <v>500</v>
      </c>
      <c r="B14" s="41" t="n">
        <f aca="false">B12*B9</f>
        <v>23.6</v>
      </c>
    </row>
    <row r="15" customFormat="false" ht="15" hidden="false" customHeight="false" outlineLevel="0" collapsed="false">
      <c r="A15" s="40" t="s">
        <v>501</v>
      </c>
      <c r="B15" s="41" t="n">
        <f aca="false">B10</f>
        <v>0</v>
      </c>
    </row>
    <row r="16" customFormat="false" ht="15" hidden="false" customHeight="false" outlineLevel="0" collapsed="false">
      <c r="A16" s="42" t="s">
        <v>502</v>
      </c>
      <c r="B16" s="43" t="n">
        <f aca="false">SUM(B12:B15)</f>
        <v>149.27</v>
      </c>
    </row>
    <row r="17" customFormat="false" ht="15" hidden="false" customHeight="false" outlineLevel="0" collapsed="false">
      <c r="A17" s="40" t="s">
        <v>503</v>
      </c>
      <c r="B17" s="44" t="n">
        <f aca="false">B16*B18</f>
        <v>820.985</v>
      </c>
    </row>
    <row r="18" customFormat="false" ht="15" hidden="false" customHeight="false" outlineLevel="0" collapsed="false">
      <c r="A18" s="40" t="s">
        <v>504</v>
      </c>
      <c r="B18" s="45" t="n">
        <v>5.5</v>
      </c>
      <c r="C18" s="40" t="s">
        <v>505</v>
      </c>
    </row>
    <row r="20" customFormat="false" ht="15" hidden="false" customHeight="false" outlineLevel="0" collapsed="false">
      <c r="A20" s="23" t="s">
        <v>506</v>
      </c>
    </row>
    <row r="21" customFormat="false" ht="15" hidden="false" customHeight="false" outlineLevel="0" collapsed="false">
      <c r="A21" s="25" t="s">
        <v>507</v>
      </c>
      <c r="B21" s="46" t="n">
        <f aca="false">B4*49*(1+B8+B9)+B10</f>
        <v>123.97</v>
      </c>
      <c r="C21" s="25" t="s">
        <v>508</v>
      </c>
    </row>
    <row r="22" customFormat="false" ht="15" hidden="false" customHeight="false" outlineLevel="0" collapsed="false">
      <c r="A22" s="25" t="s">
        <v>509</v>
      </c>
      <c r="B22" s="46" t="n">
        <f aca="false">B16</f>
        <v>149.27</v>
      </c>
      <c r="C22" s="25"/>
    </row>
    <row r="23" customFormat="false" ht="15" hidden="false" customHeight="false" outlineLevel="0" collapsed="false">
      <c r="A23" s="25" t="s">
        <v>510</v>
      </c>
      <c r="B23" s="46" t="n">
        <f aca="false">B22-B21</f>
        <v>25.3</v>
      </c>
      <c r="C23" s="25"/>
    </row>
    <row r="25" customFormat="false" ht="15" hidden="false" customHeight="false" outlineLevel="0" collapsed="false">
      <c r="A25" s="23" t="s">
        <v>511</v>
      </c>
    </row>
    <row r="26" customFormat="false" ht="78" hidden="false" customHeight="true" outlineLevel="0" collapsed="false">
      <c r="A26" s="47" t="s">
        <v>512</v>
      </c>
      <c r="B26" s="48" t="s">
        <v>513</v>
      </c>
      <c r="C26" s="48"/>
    </row>
    <row r="27" customFormat="false" ht="78" hidden="false" customHeight="true" outlineLevel="0" collapsed="false">
      <c r="A27" s="47" t="s">
        <v>501</v>
      </c>
      <c r="B27" s="48" t="s">
        <v>514</v>
      </c>
      <c r="C27" s="48"/>
    </row>
    <row r="28" customFormat="false" ht="78" hidden="false" customHeight="true" outlineLevel="0" collapsed="false">
      <c r="A28" s="47" t="s">
        <v>515</v>
      </c>
      <c r="B28" s="48" t="s">
        <v>516</v>
      </c>
      <c r="C28" s="48"/>
    </row>
    <row r="29" customFormat="false" ht="78" hidden="false" customHeight="true" outlineLevel="0" collapsed="false">
      <c r="A29" s="47" t="s">
        <v>517</v>
      </c>
      <c r="B29" s="48" t="s">
        <v>518</v>
      </c>
      <c r="C29" s="48"/>
    </row>
    <row r="30" customFormat="false" ht="78" hidden="false" customHeight="true" outlineLevel="0" collapsed="false">
      <c r="A30" s="47" t="s">
        <v>519</v>
      </c>
      <c r="B30" s="48" t="s">
        <v>520</v>
      </c>
      <c r="C30" s="48"/>
    </row>
    <row r="31" customFormat="false" ht="78" hidden="false" customHeight="true" outlineLevel="0" collapsed="false">
      <c r="A31" s="47" t="s">
        <v>521</v>
      </c>
      <c r="B31" s="48" t="s">
        <v>522</v>
      </c>
      <c r="C31" s="48"/>
    </row>
    <row r="33" customFormat="false" ht="15" hidden="false" customHeight="false" outlineLevel="0" collapsed="false">
      <c r="A33" s="23" t="s">
        <v>523</v>
      </c>
    </row>
    <row r="34" customFormat="false" ht="78" hidden="false" customHeight="true" outlineLevel="0" collapsed="false">
      <c r="A34" s="47" t="s">
        <v>524</v>
      </c>
      <c r="B34" s="48" t="s">
        <v>525</v>
      </c>
      <c r="C34" s="48"/>
    </row>
    <row r="35" customFormat="false" ht="78" hidden="false" customHeight="true" outlineLevel="0" collapsed="false">
      <c r="A35" s="47" t="s">
        <v>526</v>
      </c>
      <c r="B35" s="48" t="s">
        <v>527</v>
      </c>
      <c r="C35" s="48"/>
    </row>
    <row r="36" customFormat="false" ht="78" hidden="false" customHeight="true" outlineLevel="0" collapsed="false">
      <c r="A36" s="47" t="s">
        <v>528</v>
      </c>
      <c r="B36" s="48" t="s">
        <v>529</v>
      </c>
      <c r="C36" s="48"/>
    </row>
    <row r="38" customFormat="false" ht="15" hidden="false" customHeight="false" outlineLevel="0" collapsed="false">
      <c r="A38" s="23" t="s">
        <v>530</v>
      </c>
    </row>
    <row r="39" customFormat="false" ht="48" hidden="false" customHeight="true" outlineLevel="0" collapsed="false">
      <c r="A39" s="48" t="s">
        <v>531</v>
      </c>
      <c r="B39" s="48"/>
      <c r="C39" s="48"/>
    </row>
    <row r="40" customFormat="false" ht="48" hidden="false" customHeight="true" outlineLevel="0" collapsed="false">
      <c r="A40" s="48" t="s">
        <v>532</v>
      </c>
      <c r="B40" s="48"/>
      <c r="C40" s="48"/>
    </row>
    <row r="41" customFormat="false" ht="48" hidden="false" customHeight="true" outlineLevel="0" collapsed="false">
      <c r="A41" s="48" t="s">
        <v>533</v>
      </c>
      <c r="B41" s="48"/>
      <c r="C41" s="48"/>
    </row>
    <row r="42" customFormat="false" ht="48" hidden="false" customHeight="true" outlineLevel="0" collapsed="false">
      <c r="A42" s="48" t="s">
        <v>534</v>
      </c>
      <c r="B42" s="48"/>
      <c r="C42" s="48"/>
    </row>
  </sheetData>
  <mergeCells count="13">
    <mergeCell ref="B26:C26"/>
    <mergeCell ref="B27:C27"/>
    <mergeCell ref="B28:C28"/>
    <mergeCell ref="B29:C29"/>
    <mergeCell ref="B30:C30"/>
    <mergeCell ref="B31:C31"/>
    <mergeCell ref="B34:C34"/>
    <mergeCell ref="B35:C35"/>
    <mergeCell ref="B36:C36"/>
    <mergeCell ref="A39:C39"/>
    <mergeCell ref="A40:C40"/>
    <mergeCell ref="A41:C41"/>
    <mergeCell ref="A42:C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20"/>
  </cols>
  <sheetData>
    <row r="1" customFormat="false" ht="15" hidden="false" customHeight="false" outlineLevel="0" collapsed="false">
      <c r="A1" s="49" t="s">
        <v>535</v>
      </c>
      <c r="B1" s="49" t="s">
        <v>536</v>
      </c>
    </row>
    <row r="2" customFormat="false" ht="41.75" hidden="false" customHeight="false" outlineLevel="0" collapsed="false">
      <c r="A2" s="50" t="s">
        <v>537</v>
      </c>
      <c r="B2" s="5" t="s">
        <v>538</v>
      </c>
    </row>
    <row r="3" customFormat="false" ht="28.35" hidden="false" customHeight="false" outlineLevel="0" collapsed="false">
      <c r="A3" s="50" t="s">
        <v>539</v>
      </c>
      <c r="B3" s="5" t="s">
        <v>540</v>
      </c>
    </row>
    <row r="4" customFormat="false" ht="28.35" hidden="false" customHeight="false" outlineLevel="0" collapsed="false">
      <c r="A4" s="50" t="s">
        <v>541</v>
      </c>
      <c r="B4" s="5" t="s">
        <v>542</v>
      </c>
    </row>
    <row r="5" customFormat="false" ht="28.35" hidden="false" customHeight="false" outlineLevel="0" collapsed="false">
      <c r="A5" s="50" t="s">
        <v>543</v>
      </c>
      <c r="B5" s="5" t="s">
        <v>544</v>
      </c>
    </row>
    <row r="6" customFormat="false" ht="15" hidden="false" customHeight="false" outlineLevel="0" collapsed="false">
      <c r="A6" s="50" t="s">
        <v>499</v>
      </c>
      <c r="B6" s="5" t="s">
        <v>545</v>
      </c>
    </row>
    <row r="7" customFormat="false" ht="28.35" hidden="false" customHeight="false" outlineLevel="0" collapsed="false">
      <c r="A7" s="50" t="s">
        <v>546</v>
      </c>
      <c r="B7" s="5" t="s">
        <v>547</v>
      </c>
    </row>
    <row r="8" customFormat="false" ht="28.35" hidden="false" customHeight="false" outlineLevel="0" collapsed="false">
      <c r="A8" s="50" t="s">
        <v>548</v>
      </c>
      <c r="B8" s="5" t="s">
        <v>549</v>
      </c>
    </row>
    <row r="9" customFormat="false" ht="28.35" hidden="false" customHeight="false" outlineLevel="0" collapsed="false">
      <c r="A9" s="50" t="s">
        <v>550</v>
      </c>
      <c r="B9" s="5" t="s">
        <v>551</v>
      </c>
    </row>
    <row r="10" customFormat="false" ht="15" hidden="false" customHeight="false" outlineLevel="0" collapsed="false">
      <c r="A10" s="50" t="s">
        <v>552</v>
      </c>
      <c r="B10" s="5" t="s">
        <v>553</v>
      </c>
    </row>
    <row r="11" customFormat="false" ht="55.2" hidden="false" customHeight="false" outlineLevel="0" collapsed="false">
      <c r="A11" s="50" t="s">
        <v>554</v>
      </c>
      <c r="B11" s="5" t="s">
        <v>555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5"/>
    <col collapsed="false" customWidth="true" hidden="false" outlineLevel="0" max="2" min="2" style="0" width="110"/>
  </cols>
  <sheetData>
    <row r="1" customFormat="false" ht="31.5" hidden="false" customHeight="true" outlineLevel="0" collapsed="false">
      <c r="A1" s="1" t="s">
        <v>556</v>
      </c>
      <c r="B1" s="1" t="s">
        <v>382</v>
      </c>
    </row>
    <row r="2" customFormat="false" ht="15" hidden="false" customHeight="false" outlineLevel="0" collapsed="false">
      <c r="A2" s="5" t="s">
        <v>557</v>
      </c>
      <c r="B2" s="5" t="s">
        <v>558</v>
      </c>
    </row>
    <row r="3" customFormat="false" ht="15" hidden="false" customHeight="false" outlineLevel="0" collapsed="false">
      <c r="A3" s="5" t="s">
        <v>559</v>
      </c>
      <c r="B3" s="5" t="s">
        <v>417</v>
      </c>
    </row>
    <row r="4" customFormat="false" ht="15" hidden="false" customHeight="false" outlineLevel="0" collapsed="false">
      <c r="A4" s="5" t="s">
        <v>560</v>
      </c>
      <c r="B4" s="5" t="s">
        <v>281</v>
      </c>
    </row>
    <row r="5" customFormat="false" ht="15" hidden="false" customHeight="false" outlineLevel="0" collapsed="false">
      <c r="A5" s="5" t="s">
        <v>561</v>
      </c>
      <c r="B5" s="5" t="s">
        <v>562</v>
      </c>
    </row>
    <row r="6" customFormat="false" ht="28.35" hidden="false" customHeight="false" outlineLevel="0" collapsed="false">
      <c r="A6" s="5" t="s">
        <v>563</v>
      </c>
      <c r="B6" s="5" t="s">
        <v>564</v>
      </c>
    </row>
    <row r="7" customFormat="false" ht="15" hidden="false" customHeight="false" outlineLevel="0" collapsed="false">
      <c r="A7" s="5" t="s">
        <v>565</v>
      </c>
      <c r="B7" s="5" t="s">
        <v>480</v>
      </c>
    </row>
    <row r="8" customFormat="false" ht="15" hidden="false" customHeight="false" outlineLevel="0" collapsed="false">
      <c r="A8" s="5" t="s">
        <v>566</v>
      </c>
      <c r="B8" s="5" t="s">
        <v>197</v>
      </c>
    </row>
    <row r="9" customFormat="false" ht="28.35" hidden="false" customHeight="false" outlineLevel="0" collapsed="false">
      <c r="A9" s="5" t="s">
        <v>567</v>
      </c>
      <c r="B9" s="5" t="s">
        <v>568</v>
      </c>
    </row>
    <row r="10" customFormat="false" ht="28.35" hidden="false" customHeight="false" outlineLevel="0" collapsed="false">
      <c r="A10" s="5" t="s">
        <v>569</v>
      </c>
      <c r="B10" s="5" t="s">
        <v>570</v>
      </c>
    </row>
    <row r="11" customFormat="false" ht="28.35" hidden="false" customHeight="false" outlineLevel="0" collapsed="false">
      <c r="A11" s="5" t="s">
        <v>571</v>
      </c>
      <c r="B11" s="5" t="s">
        <v>572</v>
      </c>
    </row>
    <row r="12" customFormat="false" ht="28.35" hidden="false" customHeight="false" outlineLevel="0" collapsed="false">
      <c r="A12" s="5" t="s">
        <v>573</v>
      </c>
      <c r="B12" s="5" t="s">
        <v>574</v>
      </c>
    </row>
    <row r="13" customFormat="false" ht="15" hidden="false" customHeight="false" outlineLevel="0" collapsed="false">
      <c r="A13" s="5" t="s">
        <v>575</v>
      </c>
      <c r="B13" s="5" t="s">
        <v>576</v>
      </c>
    </row>
    <row r="14" customFormat="false" ht="28.35" hidden="false" customHeight="false" outlineLevel="0" collapsed="false">
      <c r="A14" s="5" t="s">
        <v>577</v>
      </c>
      <c r="B14" s="5" t="s">
        <v>578</v>
      </c>
    </row>
    <row r="15" customFormat="false" ht="15" hidden="false" customHeight="false" outlineLevel="0" collapsed="false">
      <c r="A15" s="5" t="s">
        <v>579</v>
      </c>
      <c r="B15" s="5" t="s">
        <v>406</v>
      </c>
    </row>
    <row r="16" customFormat="false" ht="15" hidden="false" customHeight="false" outlineLevel="0" collapsed="false">
      <c r="A16" s="5" t="s">
        <v>509</v>
      </c>
      <c r="B16" s="5" t="s">
        <v>217</v>
      </c>
    </row>
    <row r="17" customFormat="false" ht="15" hidden="false" customHeight="false" outlineLevel="0" collapsed="false">
      <c r="A17" s="5" t="s">
        <v>580</v>
      </c>
      <c r="B17" s="5" t="s">
        <v>581</v>
      </c>
    </row>
    <row r="18" customFormat="false" ht="15" hidden="false" customHeight="false" outlineLevel="0" collapsed="false">
      <c r="A18" s="5" t="s">
        <v>582</v>
      </c>
      <c r="B18" s="5" t="s">
        <v>227</v>
      </c>
    </row>
    <row r="19" customFormat="false" ht="15" hidden="false" customHeight="false" outlineLevel="0" collapsed="false">
      <c r="A19" s="5" t="s">
        <v>583</v>
      </c>
      <c r="B19" s="5" t="s">
        <v>584</v>
      </c>
    </row>
    <row r="20" customFormat="false" ht="28.35" hidden="false" customHeight="false" outlineLevel="0" collapsed="false">
      <c r="A20" s="5" t="s">
        <v>585</v>
      </c>
      <c r="B20" s="5" t="s">
        <v>586</v>
      </c>
    </row>
    <row r="21" customFormat="false" ht="15" hidden="false" customHeight="false" outlineLevel="0" collapsed="false">
      <c r="A21" s="5" t="s">
        <v>587</v>
      </c>
      <c r="B21" s="5" t="s">
        <v>263</v>
      </c>
    </row>
    <row r="22" customFormat="false" ht="15" hidden="false" customHeight="false" outlineLevel="0" collapsed="false">
      <c r="A22" s="5" t="s">
        <v>588</v>
      </c>
      <c r="B22" s="5" t="s">
        <v>293</v>
      </c>
    </row>
    <row r="23" customFormat="false" ht="15" hidden="false" customHeight="false" outlineLevel="0" collapsed="false">
      <c r="A23" s="5" t="s">
        <v>589</v>
      </c>
      <c r="B23" s="5" t="s">
        <v>590</v>
      </c>
    </row>
    <row r="24" customFormat="false" ht="15" hidden="false" customHeight="false" outlineLevel="0" collapsed="false">
      <c r="A24" s="5" t="s">
        <v>591</v>
      </c>
      <c r="B24" s="5" t="s">
        <v>592</v>
      </c>
    </row>
    <row r="25" customFormat="false" ht="15" hidden="false" customHeight="false" outlineLevel="0" collapsed="false">
      <c r="A25" s="5" t="s">
        <v>593</v>
      </c>
      <c r="B25" s="5" t="s">
        <v>594</v>
      </c>
    </row>
    <row r="26" customFormat="false" ht="15" hidden="false" customHeight="false" outlineLevel="0" collapsed="false">
      <c r="A26" s="5" t="s">
        <v>595</v>
      </c>
      <c r="B26" s="5" t="s">
        <v>596</v>
      </c>
    </row>
    <row r="27" customFormat="false" ht="15" hidden="false" customHeight="false" outlineLevel="0" collapsed="false">
      <c r="A27" s="5" t="s">
        <v>597</v>
      </c>
      <c r="B27" s="5" t="s">
        <v>311</v>
      </c>
    </row>
    <row r="28" customFormat="false" ht="15" hidden="false" customHeight="false" outlineLevel="0" collapsed="false">
      <c r="A28" s="5" t="s">
        <v>304</v>
      </c>
      <c r="B28" s="5" t="s">
        <v>598</v>
      </c>
    </row>
    <row r="29" customFormat="false" ht="15" hidden="false" customHeight="false" outlineLevel="0" collapsed="false">
      <c r="A29" s="5" t="s">
        <v>599</v>
      </c>
      <c r="B29" s="5" t="s">
        <v>302</v>
      </c>
    </row>
    <row r="30" customFormat="false" ht="15" hidden="false" customHeight="false" outlineLevel="0" collapsed="false">
      <c r="A30" s="5" t="s">
        <v>600</v>
      </c>
      <c r="B30" s="5" t="s">
        <v>601</v>
      </c>
    </row>
    <row r="31" customFormat="false" ht="15" hidden="false" customHeight="false" outlineLevel="0" collapsed="false">
      <c r="A31" s="5" t="s">
        <v>602</v>
      </c>
      <c r="B31" s="5" t="s">
        <v>271</v>
      </c>
    </row>
    <row r="32" customFormat="false" ht="15" hidden="false" customHeight="false" outlineLevel="0" collapsed="false">
      <c r="A32" s="5" t="s">
        <v>313</v>
      </c>
      <c r="B32" s="5" t="s">
        <v>321</v>
      </c>
    </row>
    <row r="33" customFormat="false" ht="15" hidden="false" customHeight="false" outlineLevel="0" collapsed="false">
      <c r="A33" s="5" t="s">
        <v>603</v>
      </c>
      <c r="B33" s="5" t="s">
        <v>604</v>
      </c>
    </row>
    <row r="34" customFormat="false" ht="15" hidden="false" customHeight="false" outlineLevel="0" collapsed="false">
      <c r="A34" s="5" t="s">
        <v>605</v>
      </c>
      <c r="B34" s="5" t="s">
        <v>606</v>
      </c>
    </row>
    <row r="35" customFormat="false" ht="15" hidden="false" customHeight="false" outlineLevel="0" collapsed="false">
      <c r="A35" s="5" t="s">
        <v>607</v>
      </c>
      <c r="B35" s="5" t="s">
        <v>244</v>
      </c>
    </row>
    <row r="36" customFormat="false" ht="15" hidden="false" customHeight="false" outlineLevel="0" collapsed="false">
      <c r="A36" s="5" t="s">
        <v>608</v>
      </c>
      <c r="B36" s="5" t="s">
        <v>609</v>
      </c>
    </row>
    <row r="37" customFormat="false" ht="15" hidden="false" customHeight="false" outlineLevel="0" collapsed="false">
      <c r="A37" s="5" t="s">
        <v>610</v>
      </c>
      <c r="B37" s="5" t="s">
        <v>611</v>
      </c>
    </row>
    <row r="38" customFormat="false" ht="15" hidden="false" customHeight="false" outlineLevel="0" collapsed="false">
      <c r="A38" s="5" t="s">
        <v>612</v>
      </c>
      <c r="B38" s="5" t="s">
        <v>613</v>
      </c>
    </row>
    <row r="39" customFormat="false" ht="15" hidden="false" customHeight="false" outlineLevel="0" collapsed="false">
      <c r="A39" s="5" t="s">
        <v>614</v>
      </c>
      <c r="B39" s="5" t="s">
        <v>615</v>
      </c>
    </row>
    <row r="40" customFormat="false" ht="15" hidden="false" customHeight="false" outlineLevel="0" collapsed="false">
      <c r="A40" s="5" t="s">
        <v>616</v>
      </c>
      <c r="B40" s="5" t="s">
        <v>617</v>
      </c>
    </row>
    <row r="41" customFormat="false" ht="15" hidden="false" customHeight="false" outlineLevel="0" collapsed="false">
      <c r="A41" s="5" t="s">
        <v>408</v>
      </c>
      <c r="B41" s="5" t="s">
        <v>413</v>
      </c>
    </row>
    <row r="42" customFormat="false" ht="15" hidden="false" customHeight="false" outlineLevel="0" collapsed="false">
      <c r="A42" s="5" t="s">
        <v>357</v>
      </c>
      <c r="B42" s="5" t="s">
        <v>363</v>
      </c>
    </row>
    <row r="43" customFormat="false" ht="15" hidden="false" customHeight="false" outlineLevel="0" collapsed="false">
      <c r="A43" s="5" t="s">
        <v>618</v>
      </c>
      <c r="B43" s="5" t="s">
        <v>619</v>
      </c>
    </row>
    <row r="44" customFormat="false" ht="15" hidden="false" customHeight="false" outlineLevel="0" collapsed="false">
      <c r="A44" s="5" t="s">
        <v>620</v>
      </c>
      <c r="B44" s="5" t="s">
        <v>621</v>
      </c>
    </row>
    <row r="45" customFormat="false" ht="15" hidden="false" customHeight="false" outlineLevel="0" collapsed="false">
      <c r="A45" s="5" t="s">
        <v>622</v>
      </c>
      <c r="B45" s="5" t="s">
        <v>623</v>
      </c>
    </row>
    <row r="46" customFormat="false" ht="15" hidden="false" customHeight="false" outlineLevel="0" collapsed="false">
      <c r="A46" s="5" t="s">
        <v>624</v>
      </c>
      <c r="B46" s="5" t="s">
        <v>625</v>
      </c>
    </row>
    <row r="47" customFormat="false" ht="15" hidden="false" customHeight="false" outlineLevel="0" collapsed="false">
      <c r="A47" s="5" t="s">
        <v>626</v>
      </c>
      <c r="B47" s="5" t="s">
        <v>627</v>
      </c>
    </row>
    <row r="48" customFormat="false" ht="15" hidden="false" customHeight="false" outlineLevel="0" collapsed="false">
      <c r="A48" s="5" t="s">
        <v>628</v>
      </c>
      <c r="B48" s="5" t="s">
        <v>629</v>
      </c>
    </row>
    <row r="49" customFormat="false" ht="15" hidden="false" customHeight="false" outlineLevel="0" collapsed="false">
      <c r="A49" s="5" t="s">
        <v>630</v>
      </c>
      <c r="B49" s="5" t="s">
        <v>631</v>
      </c>
    </row>
    <row r="50" customFormat="false" ht="15" hidden="false" customHeight="false" outlineLevel="0" collapsed="false">
      <c r="A50" s="5" t="s">
        <v>632</v>
      </c>
      <c r="B50" s="5" t="s">
        <v>455</v>
      </c>
    </row>
    <row r="51" customFormat="false" ht="15" hidden="false" customHeight="false" outlineLevel="0" collapsed="false">
      <c r="A51" s="5" t="s">
        <v>633</v>
      </c>
      <c r="B51" s="5" t="s">
        <v>467</v>
      </c>
    </row>
    <row r="52" customFormat="false" ht="15" hidden="false" customHeight="false" outlineLevel="0" collapsed="false">
      <c r="A52" s="5" t="s">
        <v>634</v>
      </c>
      <c r="B52" s="5" t="s">
        <v>375</v>
      </c>
    </row>
    <row r="53" customFormat="false" ht="15" hidden="false" customHeight="false" outlineLevel="0" collapsed="false">
      <c r="A53" s="5" t="s">
        <v>635</v>
      </c>
      <c r="B53" s="5" t="s">
        <v>636</v>
      </c>
    </row>
    <row r="54" customFormat="false" ht="15" hidden="false" customHeight="false" outlineLevel="0" collapsed="false">
      <c r="A54" s="5" t="s">
        <v>637</v>
      </c>
      <c r="B54" s="5" t="s">
        <v>355</v>
      </c>
    </row>
    <row r="55" customFormat="false" ht="15" hidden="false" customHeight="false" outlineLevel="0" collapsed="false">
      <c r="A55" s="5" t="s">
        <v>638</v>
      </c>
      <c r="B55" s="5" t="s">
        <v>639</v>
      </c>
    </row>
  </sheetData>
  <autoFilter ref="A1:B4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2026-10-04T23:44:59Z</dcterms:created>
  <dc:creator>openpyxl</dc:creator>
  <dc:description/>
  <dc:language>en-US</dc:language>
  <cp:lastModifiedBy/>
  <dcterms:modified xsi:type="dcterms:W3CDTF">2026-10-11T02:03:04Z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